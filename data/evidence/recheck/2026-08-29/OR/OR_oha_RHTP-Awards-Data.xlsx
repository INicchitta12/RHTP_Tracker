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hsoha.sharepoint.com/teams/OHA-HPA-HealthAnalytics-RFPPhase2ProcessImplemenation/Shared Documents/Milena working folder/RHTP/"/>
    </mc:Choice>
  </mc:AlternateContent>
  <xr:revisionPtr revIDLastSave="498" documentId="8_{5AB1DFC2-4ED7-4403-88DA-6EEF676257B0}" xr6:coauthVersionLast="47" xr6:coauthVersionMax="47" xr10:uidLastSave="{52B39C05-51B4-442F-B03D-5FE1428CB32B}"/>
  <bookViews>
    <workbookView xWindow="1230" yWindow="75" windowWidth="34740" windowHeight="15405" xr2:uid="{B1A4947E-386E-44F1-BF93-FB1E1E664898}"/>
  </bookViews>
  <sheets>
    <sheet name="About" sheetId="1" r:id="rId1"/>
    <sheet name="SummaryStatistics" sheetId="3" r:id="rId2"/>
    <sheet name="Data"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07" i="5" l="1"/>
  <c r="H107" i="5"/>
  <c r="I107" i="5"/>
  <c r="C8" i="3"/>
  <c r="B8" i="3" l="1"/>
</calcChain>
</file>

<file path=xl/sharedStrings.xml><?xml version="1.0" encoding="utf-8"?>
<sst xmlns="http://schemas.openxmlformats.org/spreadsheetml/2006/main" count="645" uniqueCount="253">
  <si>
    <t>End of worksheet</t>
  </si>
  <si>
    <t xml:space="preserve">The worksheets in this workbook include all the information visually presented in "Oregon Catalyst Awards" interactive dashboard. </t>
  </si>
  <si>
    <t>The dashboard can be found online here.</t>
  </si>
  <si>
    <t>Initiative</t>
  </si>
  <si>
    <t>Confederated Tribes of Grand Ronde</t>
  </si>
  <si>
    <t>Federally Recognized Tribe</t>
  </si>
  <si>
    <t>Project 1</t>
  </si>
  <si>
    <t>Tillamook</t>
  </si>
  <si>
    <t>Central Valley</t>
  </si>
  <si>
    <t>Linn</t>
  </si>
  <si>
    <t>Washington</t>
  </si>
  <si>
    <t>Nehalem Bay Health Center and Pharmacy (NBHCP)</t>
  </si>
  <si>
    <t>Behavioral Health Clinic</t>
  </si>
  <si>
    <t>Clatsop</t>
  </si>
  <si>
    <t>Dental Provider</t>
  </si>
  <si>
    <t>Federally Qualified Health Center (FQHC)</t>
  </si>
  <si>
    <t>Nonprofit or Private Health Care Organization</t>
  </si>
  <si>
    <t>Rural Health Clinic</t>
  </si>
  <si>
    <t>Grant County Education Service District</t>
  </si>
  <si>
    <t>Education Service District</t>
  </si>
  <si>
    <t>Grant</t>
  </si>
  <si>
    <t>North Eastern</t>
  </si>
  <si>
    <t>Curry Health District (DBA Curry Health Network)</t>
  </si>
  <si>
    <t>Curry</t>
  </si>
  <si>
    <t>South Coast</t>
  </si>
  <si>
    <t>Hospital or Hospital System</t>
  </si>
  <si>
    <t>Umpqua Community Health Center, Inc. (DBA Aviva Health)</t>
  </si>
  <si>
    <t>Douglas</t>
  </si>
  <si>
    <t>South Central</t>
  </si>
  <si>
    <t>Attorney General's Sexual Assault Task Force (DBA Oregon Sexual Assault Task Force (SATF))</t>
  </si>
  <si>
    <t>Social Service or Community-Based Organization</t>
  </si>
  <si>
    <t>Statewide</t>
  </si>
  <si>
    <t>InterMountain Education Service District (DBA Blue Mountain Early Learning Hub)</t>
  </si>
  <si>
    <t>Other</t>
  </si>
  <si>
    <t>Wallowa</t>
  </si>
  <si>
    <t>Mercy Flights, Inc.</t>
  </si>
  <si>
    <t>Emergency Medical Services (EMS)</t>
  </si>
  <si>
    <t>Jackson</t>
  </si>
  <si>
    <t>Lower Umpqua Hospital District</t>
  </si>
  <si>
    <t>Coos</t>
  </si>
  <si>
    <t>SriPonya Collective</t>
  </si>
  <si>
    <t>Jefferson</t>
  </si>
  <si>
    <t>Central</t>
  </si>
  <si>
    <t>Lane County, Oregon (DBA Lane County Health &amp; Human Services – Community Health Centers of Lane County)</t>
  </si>
  <si>
    <t>Lane</t>
  </si>
  <si>
    <t>Harney County Health District (DBA Harney District Hospital)</t>
  </si>
  <si>
    <t>Harney</t>
  </si>
  <si>
    <t>South Eastern</t>
  </si>
  <si>
    <t>Klamath Child &amp; Family Treatment Center (DBA Klamath Basin Behavioral Health)</t>
  </si>
  <si>
    <t>Klamath</t>
  </si>
  <si>
    <t>University</t>
  </si>
  <si>
    <t>Oregon Health &amp; Science University, Northwest Native American Center of Excellence (NNACoE)</t>
  </si>
  <si>
    <t>Siskiyou Community Health Center</t>
  </si>
  <si>
    <t>Josephine</t>
  </si>
  <si>
    <t>Willamette Health Council</t>
  </si>
  <si>
    <t>PeaceHealth Peace Harbor Medical Center</t>
  </si>
  <si>
    <t>Project 2</t>
  </si>
  <si>
    <t>The Native American Rehabilitation Association of the Northwest, Incorporated (DBA NARA NW)</t>
  </si>
  <si>
    <t>PHARMACY FOUNDATION OF OREGON</t>
  </si>
  <si>
    <t>Malheur</t>
  </si>
  <si>
    <t>Klamath Falls City School District</t>
  </si>
  <si>
    <t>School District</t>
  </si>
  <si>
    <t>Silverton Health (DBA Legacy Silverton Medical Center)</t>
  </si>
  <si>
    <t>Project 3</t>
  </si>
  <si>
    <t>Conexión Fénix</t>
  </si>
  <si>
    <t>Equity Dental, LLC</t>
  </si>
  <si>
    <t>City of Seaside (Seaside Fire &amp; Rescue) (DBA Seaside Fire &amp; Rescue)</t>
  </si>
  <si>
    <t>Center M Connective</t>
  </si>
  <si>
    <t>ORTC, LLC</t>
  </si>
  <si>
    <t>Oregon Office of Rural Health at Oregon Health &amp; Science University</t>
  </si>
  <si>
    <t>Columbia River Health</t>
  </si>
  <si>
    <t>Chestnut Health Systems, Inc.</t>
  </si>
  <si>
    <t>Wallowa County Health Care District (DBA Wallowa Memorial Hospital / Wallowa Memorial Medical Clinic)</t>
  </si>
  <si>
    <t>La Clinica del Valle Family Health Care Center, Inc (DBA La Clinica)</t>
  </si>
  <si>
    <t>Bay Clinic LLP</t>
  </si>
  <si>
    <t>Winding Waters Medical Clinic</t>
  </si>
  <si>
    <t>Southern Oregon Pathways, LLC</t>
  </si>
  <si>
    <t>WVP Health Authority</t>
  </si>
  <si>
    <t>Ravenseed AZN, LLC (DBA Acadia Northwest)</t>
  </si>
  <si>
    <t>Seniors at Home LLC</t>
  </si>
  <si>
    <t>Oregon Behavioral Health Innovation and Training</t>
  </si>
  <si>
    <t>Portland New Family Fund (DBA New Family Fund)</t>
  </si>
  <si>
    <t>Wheeler Care Center LLC (DBA Nehalem Valley Care Center)</t>
  </si>
  <si>
    <t>One Community Health</t>
  </si>
  <si>
    <t>Oregon Health &amp; Science University, Oregon Perinatal Collaborative</t>
  </si>
  <si>
    <t>Continuum Behavioral Health and Recovery Services (DBA OnTrack, Inc.)</t>
  </si>
  <si>
    <t>Rogue Workforce Partnership</t>
  </si>
  <si>
    <t>Konnect Dental Kare Services</t>
  </si>
  <si>
    <t>White Oak Medical Clinic LLC</t>
  </si>
  <si>
    <t>Mid-Valley Healthcare, Inc. (DBA Samaritan Lebanon Community Hospital)</t>
  </si>
  <si>
    <t>Samaritan North Lincoln Hospital</t>
  </si>
  <si>
    <t>Eastern Oregon University</t>
  </si>
  <si>
    <t>Southwestern Oregon Workforce Investment Board (SOWIB)</t>
  </si>
  <si>
    <t>Sky Lakes Foundation (DBA Healthy Klamath)</t>
  </si>
  <si>
    <t>Clastop Community Action</t>
  </si>
  <si>
    <t>Cornerstone Whole Healthcare Organization, Inc. (DBA C-WHO)</t>
  </si>
  <si>
    <t>Options for Southern Oregon, Inc.</t>
  </si>
  <si>
    <t>My Other Me, LLC (DBA FemForward)</t>
  </si>
  <si>
    <t>Northeast Oregon Network</t>
  </si>
  <si>
    <t>MEDICAL TEAMS INTERNATIONAL</t>
  </si>
  <si>
    <t>Comagine Health</t>
  </si>
  <si>
    <t>Sky Lakes Medical Center</t>
  </si>
  <si>
    <t>Family Building Blocks</t>
  </si>
  <si>
    <t>Eastern Oregon Health and Wellness, Inc (DBA REACH Recovery)</t>
  </si>
  <si>
    <t>Oasis Center of the Rogue Valley</t>
  </si>
  <si>
    <t>Scappoose Fire District</t>
  </si>
  <si>
    <t>Southwestern Oregon Community College</t>
  </si>
  <si>
    <t>Community College</t>
  </si>
  <si>
    <t>Providence Health &amp; Services – Oregon (DBA Providence Hood River Memorial Hospital)</t>
  </si>
  <si>
    <t>Washington County Public Health</t>
  </si>
  <si>
    <t>Grande Ronde Hospital, Inc.</t>
  </si>
  <si>
    <t>Wallowa Valley Center for Wellness</t>
  </si>
  <si>
    <t>Tillamook County Health Department</t>
  </si>
  <si>
    <t>Praxis Health PC Group</t>
  </si>
  <si>
    <t>Familias en Acción</t>
  </si>
  <si>
    <t>City of Coos Bay</t>
  </si>
  <si>
    <t>Youth Era</t>
  </si>
  <si>
    <t>Oregon Health &amp; Science University, Oregon Health &amp; Science University - Section of Addiction Medicine</t>
  </si>
  <si>
    <t>Oregon Washington health Network</t>
  </si>
  <si>
    <t>Outback Strong LLC</t>
  </si>
  <si>
    <t>Oregon Northwest Workforce Investment Board (DBA Northwest Oregon Works)</t>
  </si>
  <si>
    <t>Oregon Primary Care Association</t>
  </si>
  <si>
    <t>Vision To Learn</t>
  </si>
  <si>
    <t>Oregon Health &amp; Science University, Oregon Health &amp; Science University - Department of Neurology</t>
  </si>
  <si>
    <t>Douglas Education Service District (DBA Douglas ESD)</t>
  </si>
  <si>
    <t>South Lane School District</t>
  </si>
  <si>
    <t>Lutheran Community Services Northwest</t>
  </si>
  <si>
    <t>Oregon Health &amp; Science University, University Center for Excellence on Development and Disability</t>
  </si>
  <si>
    <t>OARM Services of Oregon, P.C. (DBA Eastern Oregon Cancer Center)</t>
  </si>
  <si>
    <t>Total Budget (Expected)</t>
  </si>
  <si>
    <t>Project ID</t>
  </si>
  <si>
    <t>Healthy Communities &amp; Prevention</t>
  </si>
  <si>
    <t>Workforce Capacity &amp; Resilience</t>
  </si>
  <si>
    <t>Technology &amp; Data Modernization</t>
  </si>
  <si>
    <t>Budget Year 1 (Approved)</t>
  </si>
  <si>
    <t>This worksheet contains one data table which begins on A3 and shows information about all projects that received RHTP Catalyst Award funding in year 1. The table includes organization name, project ID, counties served, regions served, entity type, year 1 approved budget, year 2 expected budget, and total expected budget.</t>
  </si>
  <si>
    <t>Budget Year 2 (Expected)</t>
  </si>
  <si>
    <t>Ogranization name</t>
  </si>
  <si>
    <t>Counties served</t>
  </si>
  <si>
    <t>Regions served</t>
  </si>
  <si>
    <t>Entity type</t>
  </si>
  <si>
    <t>Number of projects funded</t>
  </si>
  <si>
    <t>Regional Partnerships</t>
  </si>
  <si>
    <t>Year 1 funds disributed (millions)</t>
  </si>
  <si>
    <t>Total</t>
  </si>
  <si>
    <t>Summary Statistics</t>
  </si>
  <si>
    <t>Project Details</t>
  </si>
  <si>
    <t>This worksheet contains one data table which begins on A3 and shows basic summary numbers of RHTP Catalyst Awards distribution.</t>
  </si>
  <si>
    <t>Regional Partnerships &amp; System Transformation</t>
  </si>
  <si>
    <t>Coos, Curry, Douglas, Lane, Lincoln</t>
  </si>
  <si>
    <t>Klamath, Lake</t>
  </si>
  <si>
    <t>Curry, Jackson, Josephine</t>
  </si>
  <si>
    <t>Clatsop, Multnomah</t>
  </si>
  <si>
    <t>Gilliam, Morrow, Umatilla</t>
  </si>
  <si>
    <t>Benton, Lincoln, Linn, Tillamook</t>
  </si>
  <si>
    <t>Douglas, Lincoln, Linn, Polk, Tillamook</t>
  </si>
  <si>
    <t>Clackamas, Lincoln, Linn, Marion, Multnomah, Polk, Tillamook, Washington, Yamhill</t>
  </si>
  <si>
    <t>Baker, Umatilla, Union, Wallowa</t>
  </si>
  <si>
    <t>Baker, Crook, Gilliam, Grant, Harney, Hood River, Jefferson, Malheur, Morrow, Umatilla, Union, Wallowa, Wasco, Wheeler</t>
  </si>
  <si>
    <t>Clackamas, Clatsop, Columbia, Deschutes, Hood River, Marion, Morrow, Multnomah, Polk, Tillamook, Umatilla, Wasco, Washington, Yamhill</t>
  </si>
  <si>
    <t>Linn, Marion</t>
  </si>
  <si>
    <t>Baker, Union</t>
  </si>
  <si>
    <t>Baker, Morrow, Umatilla, Union, Wallowa</t>
  </si>
  <si>
    <t>Jackson, Josephine</t>
  </si>
  <si>
    <t>Coos, Douglas</t>
  </si>
  <si>
    <t>Polk, Tillamook, Washington, Yamhill</t>
  </si>
  <si>
    <t>Baker, Crook, Gilliam, Grant, Morrow, Umatilla, Union, Wallowa, Wheeler</t>
  </si>
  <si>
    <t>Clatsop, Columbia, Coos, Curry, Douglas, Josephine, Lane, Linn, Wasco, Yamhill</t>
  </si>
  <si>
    <t>Clatsop, Tillamook</t>
  </si>
  <si>
    <t>Gilliam, Grant, Morrow, Wallowa, Wheeler</t>
  </si>
  <si>
    <t>Hood River, Wasco</t>
  </si>
  <si>
    <t>Curry, Klamath, Lincoln</t>
  </si>
  <si>
    <t>Baker, Clatsop, Columbia, Lincoln, Multnomah, Tillamook</t>
  </si>
  <si>
    <t>Umatilla, Union</t>
  </si>
  <si>
    <t>Josephine, Klamath, Umatilla, Wasco</t>
  </si>
  <si>
    <t>Jackson, Josephine, Klamath, Umatilla</t>
  </si>
  <si>
    <t>Douglas, Lane, Lincoln</t>
  </si>
  <si>
    <t>Baker, Columbia, Curry, Deschutes, Grant, Harney, Josephine, Lane, Lincoln, Malheur, Morrow, Union, Wheeler</t>
  </si>
  <si>
    <t>Columbia, Deschutes, Grant, Josephine, Lane, Lincoln, Malheur, Morrow</t>
  </si>
  <si>
    <t>Polk, Umatilla, Union, Yamhill</t>
  </si>
  <si>
    <t>Clackamas, Clatsop, Columbia, Coos, Crook, Gilliam, Hood River, Jefferson, Klamath, Sherman, Umatilla, Wallowa, Wasco, Wheeler</t>
  </si>
  <si>
    <t>Lincoln, Tillamook</t>
  </si>
  <si>
    <t>Columbia, Multnomah</t>
  </si>
  <si>
    <t>Clackamas, Marion</t>
  </si>
  <si>
    <t>Douglas, Lane</t>
  </si>
  <si>
    <t>Coos, Curry, Douglas, Lane</t>
  </si>
  <si>
    <t>Coos, Curry, Douglas</t>
  </si>
  <si>
    <t>Clackamas, Columbia, Coos, Douglas, Jefferson, Klamath, Lincoln, Marion, Multnomah, Polk, Umatilla, Washington</t>
  </si>
  <si>
    <t>Clackamas, Columbia, Coos, Douglas, Jefferson, Klamath, Lincoln, Marion, Multnomah, Polk, Sherman, Umatilla, Wasco, Washington</t>
  </si>
  <si>
    <t>Crook, Deschutes, Douglas, Jefferson, Klamath, Lake</t>
  </si>
  <si>
    <t>Baker, Grant, Malheur, Union, Wallowa</t>
  </si>
  <si>
    <t>Clackamas, Clatsop, Columbia, Multnomah, Tillamook, Washington, Yamhill</t>
  </si>
  <si>
    <t>Linn, Marion, Polk, Yamhill</t>
  </si>
  <si>
    <t>Marion, Polk</t>
  </si>
  <si>
    <t>Linn, Marion, Polk</t>
  </si>
  <si>
    <t>Grant, Harney, Wheeler</t>
  </si>
  <si>
    <t>South Central, South Eastern</t>
  </si>
  <si>
    <t>South Central, South Coast</t>
  </si>
  <si>
    <t>Central, North Eastern, South Eastern</t>
  </si>
  <si>
    <t>North Eastern, South Central</t>
  </si>
  <si>
    <t>Central Valley, North Eastern</t>
  </si>
  <si>
    <t>Central Valley, South Central</t>
  </si>
  <si>
    <t>Central Valley, South Central, South Coast</t>
  </si>
  <si>
    <t>Central, South Central, South Eastern</t>
  </si>
  <si>
    <t>Central Valley, North West Coast, South Central, South Coast</t>
  </si>
  <si>
    <t>North West Coast</t>
  </si>
  <si>
    <t>Central Valley, North West Coast</t>
  </si>
  <si>
    <t>North Central Gorge, North Eastern</t>
  </si>
  <si>
    <t>Central Valley, North West Coast, South Central</t>
  </si>
  <si>
    <t>Central, North Central Gorge, North Eastern, South Eastern</t>
  </si>
  <si>
    <t>Central, Central Valley, North Central Gorge, North Eastern, North West Coast</t>
  </si>
  <si>
    <t>Central, North Central Gorge, North Eastern</t>
  </si>
  <si>
    <t>Central Valley, North Central Gorge, North West Coast, South Central, South Coast</t>
  </si>
  <si>
    <t>North Central Gorge</t>
  </si>
  <si>
    <t>North West Coast, South Central, South Coast</t>
  </si>
  <si>
    <t>Central Valley, North Eastern, North West Coast</t>
  </si>
  <si>
    <t>North Central Gorge, North Eastern, South Central</t>
  </si>
  <si>
    <t>Central, Central Valley, North Eastern, North West Coast, South Central, South Coast, South Eastern</t>
  </si>
  <si>
    <t>Central, Central Valley, North Eastern, North West Coast, South Central</t>
  </si>
  <si>
    <t>Central, Central Valley, North Central Gorge, North Eastern, North West Coast, South Central, South Coast</t>
  </si>
  <si>
    <t>Central, Central Valley, North Eastern, North West Coast, South Central, South Coast</t>
  </si>
  <si>
    <t>Behavioral Health Clinic, Federally Qualified Health Center (FQHC), Nonprofit or Private Health Care Organization, Other, Rural Health Clinic</t>
  </si>
  <si>
    <t>Emergency Medical Services (EMS), Local Government</t>
  </si>
  <si>
    <t>Federally Qualified Health Center (FQHC), Nonprofit or Private Health Care Organization, Rural Health Clinic</t>
  </si>
  <si>
    <t>Behavioral Health Clinic, Nonprofit or Private Health Care Organization</t>
  </si>
  <si>
    <t>Behavioral Health Clinic, Hospital or Hospital System, Local Government, Nonprofit or Private Health Care Organization, Rural Health Clinic</t>
  </si>
  <si>
    <t>Nonprofit or Private Health Care Organization, Social Service or Community-Based Organization</t>
  </si>
  <si>
    <t>Behavioral Health Clinic, Hospital or Hospital System, Nonprofit or Private Health Care Organization, Rural Health Clinic</t>
  </si>
  <si>
    <t>Emergency Medical Services (EMS), Hospital or Hospital System, Rural Health Clinic</t>
  </si>
  <si>
    <t>Education Service District, Other</t>
  </si>
  <si>
    <t>Behavioral Health Clinic, Nonprofit or Private Health Care Organization, Social Service or Community-Based Organization</t>
  </si>
  <si>
    <t>Dental Provider, Nonprofit or Private Health Care Organization, Social Service or Community-Based Organization</t>
  </si>
  <si>
    <t>Behavioral Health Clinic, Dental Provider, Federally Qualified Health Center (FQHC), Local Government, Local Public Health Authority, Rural Health Clinic, Social Service or Community-Based Organization</t>
  </si>
  <si>
    <t>Emergency Medical Services (EMS), Hospital or Hospital System, Nonprofit or Private Health Care Organization, Rural Health Clinic</t>
  </si>
  <si>
    <t>Emergency Medical Services (EMS), Nonprofit or Private Health Care Organization</t>
  </si>
  <si>
    <t>Hospital or Hospital System, Nonprofit or Private Health Care Organization</t>
  </si>
  <si>
    <t>Behavioral Health Clinic, Dental Provider, Federally Qualified Health Center (FQHC), Nonprofit or Private Health Care Organization, Rural Health Clinic</t>
  </si>
  <si>
    <t>Hospital or Hospital System, University</t>
  </si>
  <si>
    <t>Coalition, Nonprofit or Private Health Care Organization, University</t>
  </si>
  <si>
    <t>Hospital or Hospital System, Other, University</t>
  </si>
  <si>
    <t>Coalition, Nonprofit or Private Health Care Organization</t>
  </si>
  <si>
    <t>Other, Rural Health Clinic</t>
  </si>
  <si>
    <t>Hospital or Hospital System, Rural Health Clinic</t>
  </si>
  <si>
    <t>Coalition, Social Service or Community-Based Organization</t>
  </si>
  <si>
    <t>Coordinated Care Organization (CCO), Other</t>
  </si>
  <si>
    <t>Behavioral Health Clinic, Coalition, Dental Provider, Federally Qualified Health Center (FQHC), Nonprofit or Private Health Care Organization, Other, Social Service or Community-Based Organization</t>
  </si>
  <si>
    <t>Dental Provider, Federally Qualified Health Center (FQHC), Local Government, Local Public Health Authority</t>
  </si>
  <si>
    <t>Behavioral Health Clinic, Dental Provider, Federally Qualified Health Center (FQHC), Nonprofit or Private Health Care Organization</t>
  </si>
  <si>
    <t>Behavioral Health Clinic, Nonprofit or Private Health Care Organization, Other</t>
  </si>
  <si>
    <t>Local Government, Local Public Health Authority</t>
  </si>
  <si>
    <t>Nonprofit or Private Health Care Organization, Other</t>
  </si>
  <si>
    <t>Behavioral Health Clinic, Dental Provider, Federally Qualified Health Center (FQHC), Nonprofit or Private Health Care Organization, Social Service or Community-Based Organization</t>
  </si>
  <si>
    <t>Nonprofit or Private Health Care Organization, Professional Association or Nonprofit Advocacy, Social Service or Community-Based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</si>
</sst>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quot;$&quot;#,##0.0"/>
  </numFmts>
  <fonts count="12" x14ac:knownFonts="1">
    <font>
      <sz val="11"/>
      <color theme="1"/>
      <name val="Aptos Narrow"/>
      <family val="2"/>
      <scheme val="minor"/>
    </font>
    <font>
      <sz val="11"/>
      <color theme="1"/>
      <name val="Aptos Narrow"/>
      <family val="2"/>
      <scheme val="minor"/>
    </font>
    <font>
      <b/>
      <sz val="15"/>
      <color theme="3"/>
      <name val="Aptos Narrow"/>
      <family val="2"/>
      <scheme val="minor"/>
    </font>
    <font>
      <u/>
      <sz val="11"/>
      <color theme="10"/>
      <name val="Aptos Narrow"/>
      <family val="2"/>
      <scheme val="minor"/>
    </font>
    <font>
      <sz val="11"/>
      <name val="Aptos Narrow"/>
      <family val="2"/>
      <scheme val="minor"/>
    </font>
    <font>
      <sz val="9"/>
      <color theme="1"/>
      <name val="Aptos Narrow"/>
      <family val="2"/>
      <scheme val="minor"/>
    </font>
    <font>
      <sz val="11"/>
      <color indexed="8"/>
      <name val="Aptos Narrow"/>
      <family val="2"/>
      <scheme val="minor"/>
    </font>
    <font>
      <sz val="8"/>
      <name val="Aptos Narrow"/>
      <family val="2"/>
      <scheme val="minor"/>
    </font>
    <font>
      <sz val="11"/>
      <name val="Aptos Display"/>
      <family val="2"/>
    </font>
    <font>
      <b/>
      <sz val="11"/>
      <name val="Aptos Display"/>
      <family val="2"/>
    </font>
    <font>
      <sz val="9"/>
      <name val="Aptos Display"/>
      <family val="2"/>
    </font>
    <font>
      <sz val="11"/>
      <name val="Aptos Display"/>
    </font>
  </fonts>
  <fills count="2">
    <fill>
      <patternFill patternType="none"/>
    </fill>
    <fill>
      <patternFill patternType="gray125"/>
    </fill>
  </fills>
  <borders count="2">
    <border>
      <left/>
      <right/>
      <top/>
      <bottom/>
      <diagonal/>
    </border>
    <border>
      <left/>
      <right/>
      <top/>
      <bottom style="thick">
        <color theme="4"/>
      </bottom>
      <diagonal/>
    </border>
  </borders>
  <cellStyleXfs count="5">
    <xf numFmtId="0" fontId="0" fillId="0" borderId="0"/>
    <xf numFmtId="44"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6" fillId="0" borderId="0"/>
  </cellStyleXfs>
  <cellXfs count="20">
    <xf numFmtId="0" fontId="0" fillId="0" borderId="0" xfId="0"/>
    <xf numFmtId="0" fontId="4" fillId="0" borderId="0" xfId="0" applyFont="1"/>
    <xf numFmtId="0" fontId="3" fillId="0" borderId="0" xfId="3"/>
    <xf numFmtId="0" fontId="4" fillId="0" borderId="0" xfId="0" applyFont="1" applyAlignment="1">
      <alignment horizontal="left" vertical="center" readingOrder="1"/>
    </xf>
    <xf numFmtId="0" fontId="5" fillId="0" borderId="0" xfId="0" applyFont="1"/>
    <xf numFmtId="0" fontId="2" fillId="0" borderId="1" xfId="2"/>
    <xf numFmtId="0" fontId="8" fillId="0" borderId="0" xfId="4" applyFont="1" applyAlignment="1">
      <alignment horizontal="left" vertical="center"/>
    </xf>
    <xf numFmtId="0" fontId="8" fillId="0" borderId="0" xfId="4" applyFont="1" applyAlignment="1">
      <alignment vertical="top"/>
    </xf>
    <xf numFmtId="164" fontId="8" fillId="0" borderId="0" xfId="1" applyNumberFormat="1" applyFont="1" applyFill="1" applyAlignment="1">
      <alignment vertical="top"/>
    </xf>
    <xf numFmtId="0" fontId="8" fillId="0" borderId="0" xfId="4" applyFont="1"/>
    <xf numFmtId="0" fontId="9" fillId="0" borderId="0" xfId="4" applyFont="1" applyAlignment="1">
      <alignment horizontal="left" vertical="center"/>
    </xf>
    <xf numFmtId="0" fontId="10" fillId="0" borderId="0" xfId="4" applyFont="1"/>
    <xf numFmtId="165" fontId="0" fillId="0" borderId="0" xfId="0" applyNumberFormat="1"/>
    <xf numFmtId="0" fontId="9" fillId="0" borderId="0" xfId="0" applyFont="1" applyAlignment="1">
      <alignment vertical="top"/>
    </xf>
    <xf numFmtId="164" fontId="9" fillId="0" borderId="0" xfId="0" applyNumberFormat="1" applyFont="1" applyAlignment="1">
      <alignment vertical="top"/>
    </xf>
    <xf numFmtId="0" fontId="9" fillId="0" borderId="0" xfId="4" applyFont="1"/>
    <xf numFmtId="0" fontId="4" fillId="0" borderId="0" xfId="4" applyFont="1" applyAlignment="1">
      <alignment horizontal="left" vertical="center"/>
    </xf>
    <xf numFmtId="0" fontId="0" fillId="0" borderId="0" xfId="0" applyAlignment="1">
      <alignment horizontal="left" vertical="center"/>
    </xf>
    <xf numFmtId="0" fontId="11" fillId="0" borderId="0" xfId="4" applyFont="1" applyAlignment="1">
      <alignment horizontal="left" vertical="center"/>
    </xf>
    <xf numFmtId="0" fontId="11" fillId="0" borderId="0" xfId="4" applyFont="1"/>
  </cellXfs>
  <cellStyles count="5">
    <cellStyle name="Currency" xfId="1" builtinId="4"/>
    <cellStyle name="Heading 1" xfId="2" builtinId="16"/>
    <cellStyle name="Hyperlink" xfId="3" builtinId="8"/>
    <cellStyle name="Normal" xfId="0" builtinId="0"/>
    <cellStyle name="Normal 2" xfId="4" xr:uid="{C2C966AB-B2DD-4013-BBB6-548CD57E04E3}"/>
  </cellStyles>
  <dxfs count="23">
    <dxf>
      <numFmt numFmtId="165" formatCode="&quot;$&quot;#,##0.0"/>
    </dxf>
    <dxf>
      <numFmt numFmtId="165" formatCode="&quot;$&quot;#,##0.0"/>
    </dxf>
    <dxf>
      <font>
        <b/>
        <i val="0"/>
        <strike val="0"/>
        <condense val="0"/>
        <extend val="0"/>
        <outline val="0"/>
        <shadow val="0"/>
        <u val="none"/>
        <vertAlign val="baseline"/>
        <sz val="11"/>
        <color auto="1"/>
        <name val="Aptos Display"/>
        <family val="2"/>
        <scheme val="none"/>
      </font>
      <numFmt numFmtId="164" formatCode="_(&quot;$&quot;* #,##0_);_(&quot;$&quot;* \(#,##0\);_(&quot;$&quot;* &quot;-&quot;??_);_(@_)"/>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numFmt numFmtId="164" formatCode="_(&quot;$&quot;* #,##0_);_(&quot;$&quot;* \(#,##0\);_(&quot;$&quot;* &quot;-&quot;??_);_(@_)"/>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1"/>
        <color auto="1"/>
        <name val="Aptos Display"/>
        <family val="2"/>
        <scheme val="none"/>
      </font>
      <numFmt numFmtId="164" formatCode="_(&quot;$&quot;* #,##0_);_(&quot;$&quot;* \(#,##0\);_(&quot;$&quot;* &quot;-&quot;??_);_(@_)"/>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numFmt numFmtId="164" formatCode="_(&quot;$&quot;* #,##0_);_(&quot;$&quot;* \(#,##0\);_(&quot;$&quot;* &quot;-&quot;??_);_(@_)"/>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1"/>
        <color auto="1"/>
        <name val="Aptos Display"/>
        <family val="2"/>
        <scheme val="none"/>
      </font>
      <numFmt numFmtId="164" formatCode="_(&quot;$&quot;* #,##0_);_(&quot;$&quot;* \(#,##0\);_(&quot;$&quot;* &quot;-&quot;??_);_(@_)"/>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numFmt numFmtId="164" formatCode="_(&quot;$&quot;* #,##0_);_(&quot;$&quot;* \(#,##0\);_(&quot;$&quot;* &quot;-&quot;??_);_(@_)"/>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1"/>
        <color auto="1"/>
        <name val="Aptos Display"/>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1"/>
        <color auto="1"/>
        <name val="Aptos Display"/>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1"/>
        <color auto="1"/>
        <name val="Aptos Display"/>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1"/>
        <color auto="1"/>
        <name val="Aptos Display"/>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alignment horizontal="left" vertical="center" textRotation="0" wrapText="0" indent="0" justifyLastLine="0" shrinkToFit="0" readingOrder="0"/>
    </dxf>
    <dxf>
      <font>
        <b/>
        <i val="0"/>
        <strike val="0"/>
        <condense val="0"/>
        <extend val="0"/>
        <outline val="0"/>
        <shadow val="0"/>
        <u val="none"/>
        <vertAlign val="baseline"/>
        <sz val="11"/>
        <color auto="1"/>
        <name val="Aptos Display"/>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1"/>
        <color auto="1"/>
        <name val="Aptos Display"/>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auto="1"/>
        <name val="Aptos Display"/>
        <family val="2"/>
        <scheme val="none"/>
      </font>
      <fill>
        <patternFill patternType="none">
          <fgColor indexed="64"/>
          <bgColor indexed="65"/>
        </patternFill>
      </fill>
      <alignment horizontal="general" vertical="top" textRotation="0" wrapText="0" indent="0" justifyLastLine="0" shrinkToFit="0" readingOrder="0"/>
    </dxf>
    <dxf>
      <font>
        <b/>
      </font>
    </dxf>
    <dxf>
      <font>
        <b val="0"/>
        <i val="0"/>
        <strike val="0"/>
        <condense val="0"/>
        <extend val="0"/>
        <outline val="0"/>
        <shadow val="0"/>
        <u val="none"/>
        <vertAlign val="baseline"/>
        <sz val="11"/>
        <color auto="1"/>
        <name val="Aptos Display"/>
        <family val="2"/>
        <scheme val="none"/>
      </font>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1"/>
        <color auto="1"/>
        <name val="Aptos Display"/>
        <family val="2"/>
        <scheme val="none"/>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242036-37D9-4D61-814C-0B0A13248955}" name="SummaryStatistics" displayName="SummaryStatistics" ref="A3:C8" totalsRowCount="1">
  <autoFilter ref="A3:C7" xr:uid="{C6242036-37D9-4D61-814C-0B0A13248955}"/>
  <tableColumns count="3">
    <tableColumn id="1" xr3:uid="{DD350018-5222-4A70-B9C5-C77696D4605F}" name="Initiative" totalsRowLabel="Total"/>
    <tableColumn id="2" xr3:uid="{D46B1AD6-0649-43D2-95DD-4C18C9FB223D}" name="Number of projects funded" totalsRowFunction="sum"/>
    <tableColumn id="3" xr3:uid="{5800D280-832C-44F9-8ECA-337D695FCD4F}" name="Year 1 funds disributed (millions)" totalsRowFunction="sum" dataDxfId="1" totalsRow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9229EB-F720-4034-88B7-68408A66B7E1}" name="ProjectDetails" displayName="ProjectDetails" ref="A3:I107" totalsRowCount="1" headerRowDxfId="22" dataDxfId="21" totalsRowDxfId="20" headerRowCellStyle="Normal 2" dataCellStyle="Currency">
  <autoFilter ref="A3:I106" xr:uid="{459229EB-F720-4034-88B7-68408A66B7E1}"/>
  <sortState xmlns:xlrd2="http://schemas.microsoft.com/office/spreadsheetml/2017/richdata2" ref="A4:I106">
    <sortCondition ref="A3:A106"/>
  </sortState>
  <tableColumns count="9">
    <tableColumn id="1" xr3:uid="{AA068E94-3C8C-48E1-9E21-A58299D15348}" name="Ogranization name" totalsRowLabel="Total" dataDxfId="19" totalsRowDxfId="18" dataCellStyle="Normal 2"/>
    <tableColumn id="2" xr3:uid="{117EBD7E-BD3E-4C46-B534-CCB5D50F1D72}" name="Project ID" dataDxfId="17" totalsRowDxfId="16" dataCellStyle="Normal 2"/>
    <tableColumn id="9" xr3:uid="{8A264DBE-DF59-4E0C-8A40-5A00DEFA6079}" name="Initiative" dataDxfId="15" totalsRowDxfId="14" dataCellStyle="Normal 2"/>
    <tableColumn id="3" xr3:uid="{6A6F8C9A-9902-4B01-A9F4-AD50A83E8CED}" name="Counties served" dataDxfId="13" totalsRowDxfId="12" dataCellStyle="Normal 2"/>
    <tableColumn id="4" xr3:uid="{710225CC-B3C0-42BA-808A-66C23D76CE5A}" name="Regions served" dataDxfId="11" totalsRowDxfId="10" dataCellStyle="Normal 2"/>
    <tableColumn id="5" xr3:uid="{6B01D635-52E2-4CB4-B4FC-348E11162193}" name="Entity type" dataDxfId="9" totalsRowDxfId="8" dataCellStyle="Normal 2"/>
    <tableColumn id="6" xr3:uid="{AF2169D2-20CB-4DD3-B8FC-C9AB47C9A764}" name="Budget Year 1 (Approved)" totalsRowFunction="sum" dataDxfId="7" totalsRowDxfId="6" dataCellStyle="Currency"/>
    <tableColumn id="7" xr3:uid="{2B31C85A-E399-4063-8337-178CB05235B7}" name="Budget Year 2 (Expected)" totalsRowFunction="sum" dataDxfId="5" totalsRowDxfId="4" dataCellStyle="Currency"/>
    <tableColumn id="8" xr3:uid="{10ECA420-AD1C-4985-AC20-AE23F5C13EE7}" name="Total Budget (Expected)" totalsRowFunction="sum" dataDxfId="3" totalsRowDxfId="2" dataCellStyle="Curr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regon.gov/oha/HPA/HP/Pages/rhtp-awards.aspx"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063B-A7DA-4C69-9852-4B3C491B5B87}">
  <dimension ref="A1:A5"/>
  <sheetViews>
    <sheetView tabSelected="1" workbookViewId="0">
      <selection activeCell="A24" sqref="A24"/>
    </sheetView>
  </sheetViews>
  <sheetFormatPr defaultRowHeight="15" x14ac:dyDescent="0.25"/>
  <cols>
    <col min="1" max="1" width="118.85546875" bestFit="1" customWidth="1"/>
  </cols>
  <sheetData>
    <row r="1" spans="1:1" x14ac:dyDescent="0.25">
      <c r="A1" s="1" t="s">
        <v>1</v>
      </c>
    </row>
    <row r="2" spans="1:1" x14ac:dyDescent="0.25">
      <c r="A2" s="2" t="s">
        <v>2</v>
      </c>
    </row>
    <row r="3" spans="1:1" x14ac:dyDescent="0.25">
      <c r="A3" s="4" t="s">
        <v>0</v>
      </c>
    </row>
    <row r="4" spans="1:1" x14ac:dyDescent="0.25">
      <c r="A4" s="3"/>
    </row>
    <row r="5" spans="1:1" x14ac:dyDescent="0.25">
      <c r="A5" s="3"/>
    </row>
  </sheetData>
  <hyperlinks>
    <hyperlink ref="A2" r:id="rId1" xr:uid="{677F9969-0D68-4D6D-8459-CD98855CB3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E8D5E-0B53-4DEB-8C85-64358A6946F6}">
  <dimension ref="A1:C9"/>
  <sheetViews>
    <sheetView workbookViewId="0">
      <selection activeCell="C13" sqref="C13"/>
    </sheetView>
  </sheetViews>
  <sheetFormatPr defaultRowHeight="15" x14ac:dyDescent="0.25"/>
  <cols>
    <col min="1" max="1" width="31.140625" customWidth="1"/>
    <col min="2" max="2" width="27.42578125" customWidth="1"/>
    <col min="3" max="3" width="33" customWidth="1"/>
  </cols>
  <sheetData>
    <row r="1" spans="1:3" x14ac:dyDescent="0.25">
      <c r="A1" t="s">
        <v>147</v>
      </c>
    </row>
    <row r="2" spans="1:3" ht="20.25" thickBot="1" x14ac:dyDescent="0.35">
      <c r="A2" s="5" t="s">
        <v>145</v>
      </c>
    </row>
    <row r="3" spans="1:3" ht="15.75" thickTop="1" x14ac:dyDescent="0.25">
      <c r="A3" t="s">
        <v>3</v>
      </c>
      <c r="B3" t="s">
        <v>141</v>
      </c>
      <c r="C3" t="s">
        <v>143</v>
      </c>
    </row>
    <row r="4" spans="1:3" x14ac:dyDescent="0.25">
      <c r="A4" t="s">
        <v>131</v>
      </c>
      <c r="B4">
        <v>54</v>
      </c>
      <c r="C4" s="12">
        <v>39.200000000000003</v>
      </c>
    </row>
    <row r="5" spans="1:3" x14ac:dyDescent="0.25">
      <c r="A5" t="s">
        <v>142</v>
      </c>
      <c r="B5">
        <v>8</v>
      </c>
      <c r="C5" s="12">
        <v>6.4</v>
      </c>
    </row>
    <row r="6" spans="1:3" x14ac:dyDescent="0.25">
      <c r="A6" t="s">
        <v>133</v>
      </c>
      <c r="B6">
        <v>21</v>
      </c>
      <c r="C6" s="12">
        <v>19.100000000000001</v>
      </c>
    </row>
    <row r="7" spans="1:3" x14ac:dyDescent="0.25">
      <c r="A7" t="s">
        <v>132</v>
      </c>
      <c r="B7">
        <v>20</v>
      </c>
      <c r="C7" s="12">
        <v>15.4</v>
      </c>
    </row>
    <row r="8" spans="1:3" x14ac:dyDescent="0.25">
      <c r="A8" t="s">
        <v>144</v>
      </c>
      <c r="B8">
        <f>SUBTOTAL(109,SummaryStatistics[Number of projects funded])</f>
        <v>103</v>
      </c>
      <c r="C8" s="12">
        <f>SUBTOTAL(109,SummaryStatistics[Year 1 funds disributed (millions)])</f>
        <v>80.100000000000009</v>
      </c>
    </row>
    <row r="9" spans="1:3" x14ac:dyDescent="0.25">
      <c r="A9" s="4" t="s">
        <v>0</v>
      </c>
      <c r="C9"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2EC3-D117-4B00-9CE5-B39F5B365F67}">
  <sheetPr>
    <outlinePr summaryBelow="0"/>
  </sheetPr>
  <dimension ref="A1:L195"/>
  <sheetViews>
    <sheetView topLeftCell="A78" workbookViewId="0">
      <selection activeCell="A96" sqref="A96:C100"/>
    </sheetView>
  </sheetViews>
  <sheetFormatPr defaultColWidth="8.85546875" defaultRowHeight="17.25" customHeight="1" x14ac:dyDescent="0.25"/>
  <cols>
    <col min="1" max="1" width="83.5703125" style="9" customWidth="1"/>
    <col min="2" max="2" width="10" style="9" bestFit="1" customWidth="1"/>
    <col min="3" max="3" width="34.5703125" style="9" customWidth="1"/>
    <col min="4" max="4" width="38.85546875" style="9" customWidth="1"/>
    <col min="5" max="5" width="37.42578125" style="9" customWidth="1"/>
    <col min="6" max="6" width="33.7109375" style="9" customWidth="1"/>
    <col min="7" max="7" width="27.85546875" style="9" customWidth="1"/>
    <col min="8" max="8" width="26.85546875" style="9" customWidth="1"/>
    <col min="9" max="9" width="26.140625" style="9" customWidth="1"/>
    <col min="10" max="11" width="8.85546875" style="9"/>
    <col min="12" max="12" width="11.28515625" style="9" bestFit="1" customWidth="1"/>
    <col min="13" max="16384" width="8.85546875" style="9"/>
  </cols>
  <sheetData>
    <row r="1" spans="1:12" ht="17.25" customHeight="1" x14ac:dyDescent="0.25">
      <c r="A1" t="s">
        <v>135</v>
      </c>
      <c r="B1" s="19"/>
      <c r="C1" s="19"/>
      <c r="D1" s="19"/>
      <c r="E1" s="19"/>
      <c r="F1" s="19"/>
      <c r="G1" s="19"/>
      <c r="H1" s="19"/>
      <c r="I1" s="19"/>
      <c r="J1" s="19"/>
    </row>
    <row r="2" spans="1:12" ht="20.25" customHeight="1" thickBot="1" x14ac:dyDescent="0.35">
      <c r="A2" s="5" t="s">
        <v>146</v>
      </c>
      <c r="B2" s="19"/>
      <c r="C2" s="19"/>
      <c r="D2" s="19"/>
      <c r="E2" s="19"/>
      <c r="F2" s="19"/>
      <c r="G2" s="19"/>
      <c r="H2" s="19"/>
      <c r="I2" s="19"/>
      <c r="J2" s="19"/>
    </row>
    <row r="3" spans="1:12" s="6" customFormat="1" ht="17.25" customHeight="1" thickTop="1" x14ac:dyDescent="0.25">
      <c r="A3" s="10" t="s">
        <v>137</v>
      </c>
      <c r="B3" s="10" t="s">
        <v>130</v>
      </c>
      <c r="C3" s="10" t="s">
        <v>3</v>
      </c>
      <c r="D3" s="10" t="s">
        <v>138</v>
      </c>
      <c r="E3" s="10" t="s">
        <v>139</v>
      </c>
      <c r="F3" s="10" t="s">
        <v>140</v>
      </c>
      <c r="G3" s="10" t="s">
        <v>134</v>
      </c>
      <c r="H3" s="10" t="s">
        <v>136</v>
      </c>
      <c r="I3" s="10" t="s">
        <v>129</v>
      </c>
      <c r="J3" s="18"/>
    </row>
    <row r="4" spans="1:12" ht="17.25" customHeight="1" x14ac:dyDescent="0.25">
      <c r="A4" s="7" t="s">
        <v>29</v>
      </c>
      <c r="B4" s="7" t="s">
        <v>6</v>
      </c>
      <c r="C4" s="16" t="s">
        <v>132</v>
      </c>
      <c r="D4" s="6" t="s">
        <v>31</v>
      </c>
      <c r="E4" s="17" t="s">
        <v>31</v>
      </c>
      <c r="F4" s="17" t="s">
        <v>30</v>
      </c>
      <c r="G4" s="8">
        <v>200000</v>
      </c>
      <c r="H4" s="8">
        <v>340218.75</v>
      </c>
      <c r="I4" s="8">
        <v>540218.75</v>
      </c>
      <c r="J4" s="19"/>
      <c r="L4"/>
    </row>
    <row r="5" spans="1:12" ht="17.25" customHeight="1" x14ac:dyDescent="0.25">
      <c r="A5" s="7" t="s">
        <v>74</v>
      </c>
      <c r="B5" s="7" t="s">
        <v>6</v>
      </c>
      <c r="C5" s="16" t="s">
        <v>131</v>
      </c>
      <c r="D5" s="6" t="s">
        <v>149</v>
      </c>
      <c r="E5" s="17" t="s">
        <v>204</v>
      </c>
      <c r="F5" s="17" t="s">
        <v>17</v>
      </c>
      <c r="G5" s="8">
        <v>1474308.86</v>
      </c>
      <c r="H5" s="8">
        <v>1302786.8</v>
      </c>
      <c r="I5" s="8">
        <v>2777095.66</v>
      </c>
      <c r="J5" s="19"/>
      <c r="L5"/>
    </row>
    <row r="6" spans="1:12" ht="17.25" customHeight="1" x14ac:dyDescent="0.25">
      <c r="A6" s="7" t="s">
        <v>67</v>
      </c>
      <c r="B6" s="7" t="s">
        <v>6</v>
      </c>
      <c r="C6" s="16" t="s">
        <v>131</v>
      </c>
      <c r="D6" s="6" t="s">
        <v>31</v>
      </c>
      <c r="E6" s="17" t="s">
        <v>31</v>
      </c>
      <c r="F6" s="17" t="s">
        <v>16</v>
      </c>
      <c r="G6" s="8">
        <v>1195030.04</v>
      </c>
      <c r="H6" s="8">
        <v>785393.72</v>
      </c>
      <c r="I6" s="8">
        <v>1980423.76</v>
      </c>
      <c r="J6" s="19"/>
      <c r="L6"/>
    </row>
    <row r="7" spans="1:12" ht="17.25" customHeight="1" x14ac:dyDescent="0.25">
      <c r="A7" s="7" t="s">
        <v>71</v>
      </c>
      <c r="B7" s="7" t="s">
        <v>6</v>
      </c>
      <c r="C7" s="16" t="s">
        <v>131</v>
      </c>
      <c r="D7" s="6" t="s">
        <v>150</v>
      </c>
      <c r="E7" s="17" t="s">
        <v>196</v>
      </c>
      <c r="F7" s="17" t="s">
        <v>221</v>
      </c>
      <c r="G7" s="8">
        <v>1120126.1499999999</v>
      </c>
      <c r="H7" s="8">
        <v>1387347.41</v>
      </c>
      <c r="I7" s="8">
        <v>2507473.56</v>
      </c>
      <c r="J7" s="19"/>
      <c r="L7"/>
    </row>
    <row r="8" spans="1:12" ht="17.25" customHeight="1" x14ac:dyDescent="0.25">
      <c r="A8" s="7" t="s">
        <v>71</v>
      </c>
      <c r="B8" s="7" t="s">
        <v>56</v>
      </c>
      <c r="C8" s="16" t="s">
        <v>131</v>
      </c>
      <c r="D8" s="6" t="s">
        <v>151</v>
      </c>
      <c r="E8" s="17" t="s">
        <v>197</v>
      </c>
      <c r="F8" s="17" t="s">
        <v>221</v>
      </c>
      <c r="G8" s="8">
        <v>691282.64</v>
      </c>
      <c r="H8" s="8">
        <v>836723.45</v>
      </c>
      <c r="I8" s="8">
        <v>1528006.09</v>
      </c>
      <c r="J8" s="19"/>
      <c r="L8"/>
    </row>
    <row r="9" spans="1:12" ht="17.25" customHeight="1" x14ac:dyDescent="0.25">
      <c r="A9" s="7" t="s">
        <v>115</v>
      </c>
      <c r="B9" s="7" t="s">
        <v>6</v>
      </c>
      <c r="C9" s="16" t="s">
        <v>148</v>
      </c>
      <c r="D9" s="6" t="s">
        <v>39</v>
      </c>
      <c r="E9" s="17" t="s">
        <v>24</v>
      </c>
      <c r="F9" s="17" t="s">
        <v>222</v>
      </c>
      <c r="G9" s="8">
        <v>911520</v>
      </c>
      <c r="H9" s="8">
        <v>0</v>
      </c>
      <c r="I9" s="8">
        <v>911520</v>
      </c>
      <c r="J9" s="19"/>
      <c r="L9"/>
    </row>
    <row r="10" spans="1:12" ht="17.25" customHeight="1" x14ac:dyDescent="0.25">
      <c r="A10" s="7" t="s">
        <v>66</v>
      </c>
      <c r="B10" s="7" t="s">
        <v>6</v>
      </c>
      <c r="C10" s="16" t="s">
        <v>131</v>
      </c>
      <c r="D10" s="6" t="s">
        <v>13</v>
      </c>
      <c r="E10" s="17" t="s">
        <v>205</v>
      </c>
      <c r="F10" s="17" t="s">
        <v>222</v>
      </c>
      <c r="G10" s="8">
        <v>600000</v>
      </c>
      <c r="H10" s="8">
        <v>0</v>
      </c>
      <c r="I10" s="8">
        <v>600000</v>
      </c>
      <c r="J10" s="19"/>
      <c r="L10"/>
    </row>
    <row r="11" spans="1:12" ht="17.25" customHeight="1" x14ac:dyDescent="0.25">
      <c r="A11" s="7" t="s">
        <v>94</v>
      </c>
      <c r="B11" s="7" t="s">
        <v>6</v>
      </c>
      <c r="C11" s="16" t="s">
        <v>132</v>
      </c>
      <c r="D11" s="6" t="s">
        <v>152</v>
      </c>
      <c r="E11" s="17" t="s">
        <v>206</v>
      </c>
      <c r="F11" s="17" t="s">
        <v>30</v>
      </c>
      <c r="G11" s="8">
        <v>200000</v>
      </c>
      <c r="H11" s="8">
        <v>1051413.3999999999</v>
      </c>
      <c r="I11" s="8">
        <v>1251413.3999999999</v>
      </c>
      <c r="J11" s="19"/>
      <c r="L11"/>
    </row>
    <row r="12" spans="1:12" ht="17.25" customHeight="1" x14ac:dyDescent="0.25">
      <c r="A12" s="7" t="s">
        <v>70</v>
      </c>
      <c r="B12" s="7" t="s">
        <v>6</v>
      </c>
      <c r="C12" s="16" t="s">
        <v>131</v>
      </c>
      <c r="D12" s="6" t="s">
        <v>153</v>
      </c>
      <c r="E12" s="17" t="s">
        <v>207</v>
      </c>
      <c r="F12" s="17" t="s">
        <v>223</v>
      </c>
      <c r="G12" s="8">
        <v>218113.19</v>
      </c>
      <c r="H12" s="8">
        <v>0</v>
      </c>
      <c r="I12" s="8">
        <v>218113.19</v>
      </c>
      <c r="J12" s="19"/>
      <c r="L12"/>
    </row>
    <row r="13" spans="1:12" ht="17.25" customHeight="1" x14ac:dyDescent="0.25">
      <c r="A13" s="7" t="s">
        <v>100</v>
      </c>
      <c r="B13" s="7" t="s">
        <v>6</v>
      </c>
      <c r="C13" s="16" t="s">
        <v>131</v>
      </c>
      <c r="D13" s="6" t="s">
        <v>31</v>
      </c>
      <c r="E13" s="17" t="s">
        <v>31</v>
      </c>
      <c r="F13" s="17" t="s">
        <v>16</v>
      </c>
      <c r="G13" s="8">
        <v>1726304.51</v>
      </c>
      <c r="H13" s="8">
        <v>1284845.21</v>
      </c>
      <c r="I13" s="8">
        <v>3011149.72</v>
      </c>
      <c r="J13" s="19"/>
      <c r="L13"/>
    </row>
    <row r="14" spans="1:12" ht="17.25" customHeight="1" x14ac:dyDescent="0.25">
      <c r="A14" s="7" t="s">
        <v>64</v>
      </c>
      <c r="B14" s="7" t="s">
        <v>6</v>
      </c>
      <c r="C14" s="16" t="s">
        <v>131</v>
      </c>
      <c r="D14" s="6" t="s">
        <v>154</v>
      </c>
      <c r="E14" s="17" t="s">
        <v>206</v>
      </c>
      <c r="F14" s="17" t="s">
        <v>30</v>
      </c>
      <c r="G14" s="8">
        <v>201887.8</v>
      </c>
      <c r="H14" s="8">
        <v>244187.15</v>
      </c>
      <c r="I14" s="8">
        <v>446074.95</v>
      </c>
      <c r="J14" s="19"/>
      <c r="L14"/>
    </row>
    <row r="15" spans="1:12" ht="17.25" customHeight="1" x14ac:dyDescent="0.25">
      <c r="A15" s="7" t="s">
        <v>64</v>
      </c>
      <c r="B15" s="7" t="s">
        <v>56</v>
      </c>
      <c r="C15" s="16" t="s">
        <v>131</v>
      </c>
      <c r="D15" s="6" t="s">
        <v>155</v>
      </c>
      <c r="E15" s="17" t="s">
        <v>208</v>
      </c>
      <c r="F15" s="17" t="s">
        <v>30</v>
      </c>
      <c r="G15" s="8">
        <v>200000</v>
      </c>
      <c r="H15" s="8">
        <v>227586.63</v>
      </c>
      <c r="I15" s="8">
        <v>427586.63</v>
      </c>
      <c r="J15" s="19"/>
      <c r="L15"/>
    </row>
    <row r="16" spans="1:12" ht="17.25" customHeight="1" x14ac:dyDescent="0.25">
      <c r="A16" s="7" t="s">
        <v>4</v>
      </c>
      <c r="B16" s="7" t="s">
        <v>6</v>
      </c>
      <c r="C16" s="16" t="s">
        <v>131</v>
      </c>
      <c r="D16" s="6" t="s">
        <v>156</v>
      </c>
      <c r="E16" s="17" t="s">
        <v>206</v>
      </c>
      <c r="F16" s="17" t="s">
        <v>5</v>
      </c>
      <c r="G16" s="8">
        <v>270000</v>
      </c>
      <c r="H16" s="8">
        <v>270000</v>
      </c>
      <c r="I16" s="8">
        <v>540000</v>
      </c>
      <c r="J16" s="19"/>
      <c r="L16"/>
    </row>
    <row r="17" spans="1:12" ht="17.25" customHeight="1" x14ac:dyDescent="0.25">
      <c r="A17" s="7" t="s">
        <v>85</v>
      </c>
      <c r="B17" s="7" t="s">
        <v>6</v>
      </c>
      <c r="C17" s="16" t="s">
        <v>131</v>
      </c>
      <c r="D17" s="6" t="s">
        <v>53</v>
      </c>
      <c r="E17" s="17" t="s">
        <v>28</v>
      </c>
      <c r="F17" s="17" t="s">
        <v>224</v>
      </c>
      <c r="G17" s="8">
        <v>1815018.38</v>
      </c>
      <c r="H17" s="8">
        <v>307579.61</v>
      </c>
      <c r="I17" s="8">
        <v>2122597.9900000002</v>
      </c>
      <c r="J17" s="19"/>
      <c r="L17"/>
    </row>
    <row r="18" spans="1:12" ht="17.25" customHeight="1" x14ac:dyDescent="0.25">
      <c r="A18" s="7" t="s">
        <v>95</v>
      </c>
      <c r="B18" s="7" t="s">
        <v>6</v>
      </c>
      <c r="C18" s="16" t="s">
        <v>132</v>
      </c>
      <c r="D18" s="6" t="s">
        <v>59</v>
      </c>
      <c r="E18" s="17" t="s">
        <v>47</v>
      </c>
      <c r="F18" s="17" t="s">
        <v>16</v>
      </c>
      <c r="G18" s="8">
        <v>365211.55</v>
      </c>
      <c r="H18" s="8">
        <v>931427.71</v>
      </c>
      <c r="I18" s="8">
        <v>1296639.26</v>
      </c>
      <c r="J18" s="19"/>
      <c r="L18"/>
    </row>
    <row r="19" spans="1:12" ht="17.25" customHeight="1" x14ac:dyDescent="0.25">
      <c r="A19" s="7" t="s">
        <v>95</v>
      </c>
      <c r="B19" s="7" t="s">
        <v>63</v>
      </c>
      <c r="C19" s="16" t="s">
        <v>133</v>
      </c>
      <c r="D19" s="6" t="s">
        <v>59</v>
      </c>
      <c r="E19" s="17" t="s">
        <v>47</v>
      </c>
      <c r="F19" s="17" t="s">
        <v>16</v>
      </c>
      <c r="G19" s="8">
        <v>208046.99</v>
      </c>
      <c r="H19" s="8">
        <v>560885.36</v>
      </c>
      <c r="I19" s="8">
        <v>768932.35</v>
      </c>
      <c r="J19" s="19"/>
      <c r="L19"/>
    </row>
    <row r="20" spans="1:12" ht="17.25" customHeight="1" x14ac:dyDescent="0.25">
      <c r="A20" s="7" t="s">
        <v>95</v>
      </c>
      <c r="B20" s="7" t="s">
        <v>56</v>
      </c>
      <c r="C20" s="16" t="s">
        <v>131</v>
      </c>
      <c r="D20" s="6" t="s">
        <v>59</v>
      </c>
      <c r="E20" s="17" t="s">
        <v>47</v>
      </c>
      <c r="F20" s="17" t="s">
        <v>16</v>
      </c>
      <c r="G20" s="8">
        <v>459957.73</v>
      </c>
      <c r="H20" s="8">
        <v>313155.32</v>
      </c>
      <c r="I20" s="8">
        <v>773113.05</v>
      </c>
      <c r="J20" s="19"/>
      <c r="L20"/>
    </row>
    <row r="21" spans="1:12" ht="17.25" customHeight="1" x14ac:dyDescent="0.25">
      <c r="A21" s="7" t="s">
        <v>22</v>
      </c>
      <c r="B21" s="7" t="s">
        <v>6</v>
      </c>
      <c r="C21" s="16" t="s">
        <v>131</v>
      </c>
      <c r="D21" s="6" t="s">
        <v>23</v>
      </c>
      <c r="E21" s="17" t="s">
        <v>24</v>
      </c>
      <c r="F21" s="17" t="s">
        <v>225</v>
      </c>
      <c r="G21" s="8">
        <v>600000</v>
      </c>
      <c r="H21" s="8">
        <v>0</v>
      </c>
      <c r="I21" s="8">
        <v>600000</v>
      </c>
      <c r="J21" s="19"/>
      <c r="L21"/>
    </row>
    <row r="22" spans="1:12" ht="17.25" customHeight="1" x14ac:dyDescent="0.25">
      <c r="A22" s="7" t="s">
        <v>124</v>
      </c>
      <c r="B22" s="7" t="s">
        <v>6</v>
      </c>
      <c r="C22" s="16" t="s">
        <v>131</v>
      </c>
      <c r="D22" s="6" t="s">
        <v>27</v>
      </c>
      <c r="E22" s="17" t="s">
        <v>28</v>
      </c>
      <c r="F22" s="17" t="s">
        <v>19</v>
      </c>
      <c r="G22" s="8">
        <v>200000</v>
      </c>
      <c r="H22" s="8">
        <v>437936.83</v>
      </c>
      <c r="I22" s="8">
        <v>637936.82999999996</v>
      </c>
      <c r="J22" s="19"/>
      <c r="L22"/>
    </row>
    <row r="23" spans="1:12" ht="17.25" customHeight="1" x14ac:dyDescent="0.25">
      <c r="A23" s="7" t="s">
        <v>103</v>
      </c>
      <c r="B23" s="7" t="s">
        <v>6</v>
      </c>
      <c r="C23" s="16" t="s">
        <v>131</v>
      </c>
      <c r="D23" s="6" t="s">
        <v>157</v>
      </c>
      <c r="E23" s="17" t="s">
        <v>21</v>
      </c>
      <c r="F23" s="17" t="s">
        <v>224</v>
      </c>
      <c r="G23" s="8">
        <v>286206.2</v>
      </c>
      <c r="H23" s="8">
        <v>1528854.6</v>
      </c>
      <c r="I23" s="8">
        <v>1815060.8</v>
      </c>
      <c r="J23" s="19"/>
      <c r="L23"/>
    </row>
    <row r="24" spans="1:12" ht="17.25" customHeight="1" x14ac:dyDescent="0.25">
      <c r="A24" s="7" t="s">
        <v>91</v>
      </c>
      <c r="B24" s="7" t="s">
        <v>6</v>
      </c>
      <c r="C24" s="16" t="s">
        <v>132</v>
      </c>
      <c r="D24" s="6" t="s">
        <v>158</v>
      </c>
      <c r="E24" s="17" t="s">
        <v>209</v>
      </c>
      <c r="F24" s="17" t="s">
        <v>50</v>
      </c>
      <c r="G24" s="8">
        <v>613435.78</v>
      </c>
      <c r="H24" s="8">
        <v>683204.19</v>
      </c>
      <c r="I24" s="8">
        <v>1296639.97</v>
      </c>
      <c r="J24" s="19"/>
      <c r="L24"/>
    </row>
    <row r="25" spans="1:12" ht="17.25" customHeight="1" x14ac:dyDescent="0.25">
      <c r="A25" s="7" t="s">
        <v>65</v>
      </c>
      <c r="B25" s="7" t="s">
        <v>56</v>
      </c>
      <c r="C25" s="16" t="s">
        <v>131</v>
      </c>
      <c r="D25" s="6" t="s">
        <v>49</v>
      </c>
      <c r="E25" s="17" t="s">
        <v>28</v>
      </c>
      <c r="F25" s="17" t="s">
        <v>14</v>
      </c>
      <c r="G25" s="8">
        <v>1243160.25</v>
      </c>
      <c r="H25" s="8">
        <v>200000</v>
      </c>
      <c r="I25" s="8">
        <v>1443160.25</v>
      </c>
      <c r="J25" s="19"/>
      <c r="L25"/>
    </row>
    <row r="26" spans="1:12" ht="17.25" customHeight="1" x14ac:dyDescent="0.25">
      <c r="A26" s="7" t="s">
        <v>65</v>
      </c>
      <c r="B26" s="7" t="s">
        <v>6</v>
      </c>
      <c r="C26" s="16" t="s">
        <v>132</v>
      </c>
      <c r="D26" s="6" t="s">
        <v>49</v>
      </c>
      <c r="E26" s="17" t="s">
        <v>28</v>
      </c>
      <c r="F26" s="17" t="s">
        <v>14</v>
      </c>
      <c r="G26" s="8">
        <v>490375.5</v>
      </c>
      <c r="H26" s="8">
        <v>0</v>
      </c>
      <c r="I26" s="8">
        <v>490375.5</v>
      </c>
      <c r="J26" s="19"/>
      <c r="L26"/>
    </row>
    <row r="27" spans="1:12" ht="17.25" customHeight="1" x14ac:dyDescent="0.25">
      <c r="A27" s="7" t="s">
        <v>114</v>
      </c>
      <c r="B27" s="7" t="s">
        <v>6</v>
      </c>
      <c r="C27" s="16" t="s">
        <v>131</v>
      </c>
      <c r="D27" s="6" t="s">
        <v>159</v>
      </c>
      <c r="E27" s="17" t="s">
        <v>210</v>
      </c>
      <c r="F27" s="17" t="s">
        <v>30</v>
      </c>
      <c r="G27" s="8">
        <v>297951.18</v>
      </c>
      <c r="H27" s="8">
        <v>499558.85</v>
      </c>
      <c r="I27" s="8">
        <v>797510.03</v>
      </c>
      <c r="J27" s="19"/>
      <c r="L27"/>
    </row>
    <row r="28" spans="1:12" ht="17.25" customHeight="1" x14ac:dyDescent="0.25">
      <c r="A28" s="7" t="s">
        <v>102</v>
      </c>
      <c r="B28" s="7" t="s">
        <v>6</v>
      </c>
      <c r="C28" s="16" t="s">
        <v>131</v>
      </c>
      <c r="D28" s="6" t="s">
        <v>160</v>
      </c>
      <c r="E28" s="17" t="s">
        <v>8</v>
      </c>
      <c r="F28" s="17" t="s">
        <v>226</v>
      </c>
      <c r="G28" s="8">
        <v>223223.31</v>
      </c>
      <c r="H28" s="8">
        <v>226572.67</v>
      </c>
      <c r="I28" s="8">
        <v>449795.98</v>
      </c>
      <c r="J28" s="19"/>
      <c r="L28"/>
    </row>
    <row r="29" spans="1:12" ht="17.25" customHeight="1" x14ac:dyDescent="0.25">
      <c r="A29" s="7" t="s">
        <v>110</v>
      </c>
      <c r="B29" s="7" t="s">
        <v>6</v>
      </c>
      <c r="C29" s="16" t="s">
        <v>131</v>
      </c>
      <c r="D29" s="6" t="s">
        <v>161</v>
      </c>
      <c r="E29" s="17" t="s">
        <v>21</v>
      </c>
      <c r="F29" s="17" t="s">
        <v>227</v>
      </c>
      <c r="G29" s="8">
        <v>3208988</v>
      </c>
      <c r="H29" s="8">
        <v>0</v>
      </c>
      <c r="I29" s="8">
        <v>3208988</v>
      </c>
      <c r="J29" s="19"/>
      <c r="L29"/>
    </row>
    <row r="30" spans="1:12" ht="17.25" customHeight="1" x14ac:dyDescent="0.25">
      <c r="A30" s="7" t="s">
        <v>18</v>
      </c>
      <c r="B30" s="7" t="s">
        <v>6</v>
      </c>
      <c r="C30" s="16" t="s">
        <v>131</v>
      </c>
      <c r="D30" s="6" t="s">
        <v>20</v>
      </c>
      <c r="E30" s="17" t="s">
        <v>21</v>
      </c>
      <c r="F30" s="17" t="s">
        <v>19</v>
      </c>
      <c r="G30" s="8">
        <v>315000</v>
      </c>
      <c r="H30" s="8">
        <v>269800</v>
      </c>
      <c r="I30" s="8">
        <v>584800</v>
      </c>
      <c r="J30" s="19"/>
      <c r="L30"/>
    </row>
    <row r="31" spans="1:12" ht="17.25" customHeight="1" x14ac:dyDescent="0.25">
      <c r="A31" s="7" t="s">
        <v>45</v>
      </c>
      <c r="B31" s="7" t="s">
        <v>6</v>
      </c>
      <c r="C31" s="16" t="s">
        <v>133</v>
      </c>
      <c r="D31" s="6" t="s">
        <v>46</v>
      </c>
      <c r="E31" s="17" t="s">
        <v>47</v>
      </c>
      <c r="F31" s="17" t="s">
        <v>228</v>
      </c>
      <c r="G31" s="8">
        <v>2409781.19</v>
      </c>
      <c r="H31" s="8">
        <v>0</v>
      </c>
      <c r="I31" s="8">
        <v>2409781.19</v>
      </c>
      <c r="J31" s="19"/>
      <c r="L31"/>
    </row>
    <row r="32" spans="1:12" ht="17.25" customHeight="1" x14ac:dyDescent="0.25">
      <c r="A32" s="7" t="s">
        <v>32</v>
      </c>
      <c r="B32" s="7" t="s">
        <v>6</v>
      </c>
      <c r="C32" s="16" t="s">
        <v>148</v>
      </c>
      <c r="D32" s="6" t="s">
        <v>162</v>
      </c>
      <c r="E32" s="17" t="s">
        <v>21</v>
      </c>
      <c r="F32" s="17" t="s">
        <v>229</v>
      </c>
      <c r="G32" s="8">
        <v>249488.17</v>
      </c>
      <c r="H32" s="8">
        <v>600511.82999999996</v>
      </c>
      <c r="I32" s="8">
        <v>850000</v>
      </c>
      <c r="J32" s="19"/>
      <c r="L32"/>
    </row>
    <row r="33" spans="1:12" ht="17.25" customHeight="1" x14ac:dyDescent="0.25">
      <c r="A33" s="7" t="s">
        <v>48</v>
      </c>
      <c r="B33" s="7" t="s">
        <v>6</v>
      </c>
      <c r="C33" s="16" t="s">
        <v>133</v>
      </c>
      <c r="D33" s="6" t="s">
        <v>49</v>
      </c>
      <c r="E33" s="17" t="s">
        <v>28</v>
      </c>
      <c r="F33" s="17" t="s">
        <v>230</v>
      </c>
      <c r="G33" s="8">
        <v>4790985.5199999996</v>
      </c>
      <c r="H33" s="8">
        <v>200000</v>
      </c>
      <c r="I33" s="8">
        <v>4990985.5199999996</v>
      </c>
      <c r="J33" s="19"/>
      <c r="L33"/>
    </row>
    <row r="34" spans="1:12" ht="17.25" customHeight="1" x14ac:dyDescent="0.25">
      <c r="A34" s="7" t="s">
        <v>60</v>
      </c>
      <c r="B34" s="7" t="s">
        <v>56</v>
      </c>
      <c r="C34" s="16" t="s">
        <v>132</v>
      </c>
      <c r="D34" s="6" t="s">
        <v>49</v>
      </c>
      <c r="E34" s="17" t="s">
        <v>28</v>
      </c>
      <c r="F34" s="17" t="s">
        <v>61</v>
      </c>
      <c r="G34" s="8">
        <v>620895.77</v>
      </c>
      <c r="H34" s="8">
        <v>1176447.28</v>
      </c>
      <c r="I34" s="8">
        <v>1797343.05</v>
      </c>
      <c r="J34" s="19"/>
      <c r="L34"/>
    </row>
    <row r="35" spans="1:12" ht="17.25" customHeight="1" x14ac:dyDescent="0.25">
      <c r="A35" s="7" t="s">
        <v>60</v>
      </c>
      <c r="B35" s="7" t="s">
        <v>6</v>
      </c>
      <c r="C35" s="16" t="s">
        <v>148</v>
      </c>
      <c r="D35" s="6" t="s">
        <v>49</v>
      </c>
      <c r="E35" s="17" t="s">
        <v>28</v>
      </c>
      <c r="F35" s="17" t="s">
        <v>61</v>
      </c>
      <c r="G35" s="8">
        <v>2391651.9500000002</v>
      </c>
      <c r="H35" s="8">
        <v>904050</v>
      </c>
      <c r="I35" s="8">
        <v>3295701.95</v>
      </c>
      <c r="J35" s="19"/>
      <c r="L35"/>
    </row>
    <row r="36" spans="1:12" ht="17.25" customHeight="1" x14ac:dyDescent="0.25">
      <c r="A36" s="7" t="s">
        <v>87</v>
      </c>
      <c r="B36" s="7" t="s">
        <v>6</v>
      </c>
      <c r="C36" s="16" t="s">
        <v>131</v>
      </c>
      <c r="D36" s="6" t="s">
        <v>49</v>
      </c>
      <c r="E36" s="17" t="s">
        <v>28</v>
      </c>
      <c r="F36" s="17" t="s">
        <v>231</v>
      </c>
      <c r="G36" s="8">
        <v>1800000</v>
      </c>
      <c r="H36" s="8">
        <v>2500000</v>
      </c>
      <c r="I36" s="8">
        <v>4300000</v>
      </c>
      <c r="J36" s="19"/>
      <c r="L36"/>
    </row>
    <row r="37" spans="1:12" ht="17.25" customHeight="1" x14ac:dyDescent="0.25">
      <c r="A37" s="7" t="s">
        <v>73</v>
      </c>
      <c r="B37" s="7" t="s">
        <v>6</v>
      </c>
      <c r="C37" s="16" t="s">
        <v>132</v>
      </c>
      <c r="D37" s="6" t="s">
        <v>163</v>
      </c>
      <c r="E37" s="17" t="s">
        <v>28</v>
      </c>
      <c r="F37" s="17" t="s">
        <v>15</v>
      </c>
      <c r="G37" s="8">
        <v>3583676.99</v>
      </c>
      <c r="H37" s="8">
        <v>2463536.61</v>
      </c>
      <c r="I37" s="8">
        <v>6047213.5999999996</v>
      </c>
      <c r="J37" s="19"/>
      <c r="L37"/>
    </row>
    <row r="38" spans="1:12" ht="17.25" customHeight="1" x14ac:dyDescent="0.25">
      <c r="A38" s="7" t="s">
        <v>43</v>
      </c>
      <c r="B38" s="7" t="s">
        <v>6</v>
      </c>
      <c r="C38" s="16" t="s">
        <v>131</v>
      </c>
      <c r="D38" s="6" t="s">
        <v>44</v>
      </c>
      <c r="E38" s="17" t="s">
        <v>8</v>
      </c>
      <c r="F38" s="17" t="s">
        <v>232</v>
      </c>
      <c r="G38" s="8">
        <v>311980.64</v>
      </c>
      <c r="H38" s="8">
        <v>456809.34</v>
      </c>
      <c r="I38" s="8">
        <v>768789.98</v>
      </c>
      <c r="J38" s="19"/>
      <c r="L38"/>
    </row>
    <row r="39" spans="1:12" ht="17.25" customHeight="1" x14ac:dyDescent="0.25">
      <c r="A39" s="7" t="s">
        <v>38</v>
      </c>
      <c r="B39" s="7" t="s">
        <v>6</v>
      </c>
      <c r="C39" s="16" t="s">
        <v>148</v>
      </c>
      <c r="D39" s="6" t="s">
        <v>164</v>
      </c>
      <c r="E39" s="17" t="s">
        <v>197</v>
      </c>
      <c r="F39" s="17" t="s">
        <v>233</v>
      </c>
      <c r="G39" s="8">
        <v>650000</v>
      </c>
      <c r="H39" s="8">
        <v>200000</v>
      </c>
      <c r="I39" s="8">
        <v>850000</v>
      </c>
      <c r="J39" s="19"/>
      <c r="L39"/>
    </row>
    <row r="40" spans="1:12" ht="17.25" customHeight="1" x14ac:dyDescent="0.25">
      <c r="A40" s="7" t="s">
        <v>38</v>
      </c>
      <c r="B40" s="7" t="s">
        <v>56</v>
      </c>
      <c r="C40" s="16" t="s">
        <v>131</v>
      </c>
      <c r="D40" s="6" t="s">
        <v>164</v>
      </c>
      <c r="E40" s="17" t="s">
        <v>197</v>
      </c>
      <c r="F40" s="17" t="s">
        <v>233</v>
      </c>
      <c r="G40" s="8">
        <v>1200000</v>
      </c>
      <c r="H40" s="8">
        <v>0</v>
      </c>
      <c r="I40" s="8">
        <v>1200000</v>
      </c>
      <c r="J40" s="19"/>
      <c r="L40"/>
    </row>
    <row r="41" spans="1:12" ht="17.25" customHeight="1" x14ac:dyDescent="0.25">
      <c r="A41" s="7" t="s">
        <v>126</v>
      </c>
      <c r="B41" s="7" t="s">
        <v>6</v>
      </c>
      <c r="C41" s="16" t="s">
        <v>131</v>
      </c>
      <c r="D41" s="6" t="s">
        <v>165</v>
      </c>
      <c r="E41" s="17" t="s">
        <v>206</v>
      </c>
      <c r="F41" s="17" t="s">
        <v>230</v>
      </c>
      <c r="G41" s="8">
        <v>270947.59000000003</v>
      </c>
      <c r="H41" s="8">
        <v>667256.44999999995</v>
      </c>
      <c r="I41" s="8">
        <v>938204.04</v>
      </c>
      <c r="J41" s="19"/>
      <c r="L41"/>
    </row>
    <row r="42" spans="1:12" ht="17.25" customHeight="1" x14ac:dyDescent="0.25">
      <c r="A42" s="7" t="s">
        <v>99</v>
      </c>
      <c r="B42" s="7" t="s">
        <v>6</v>
      </c>
      <c r="C42" s="16" t="s">
        <v>131</v>
      </c>
      <c r="D42" s="6" t="s">
        <v>166</v>
      </c>
      <c r="E42" s="17" t="s">
        <v>211</v>
      </c>
      <c r="F42" s="17" t="s">
        <v>16</v>
      </c>
      <c r="G42" s="8">
        <v>964085.73</v>
      </c>
      <c r="H42" s="8">
        <v>3255304.11</v>
      </c>
      <c r="I42" s="8">
        <v>4219389.84</v>
      </c>
      <c r="J42" s="19"/>
      <c r="L42"/>
    </row>
    <row r="43" spans="1:12" ht="17.25" customHeight="1" x14ac:dyDescent="0.25">
      <c r="A43" s="7" t="s">
        <v>35</v>
      </c>
      <c r="B43" s="7" t="s">
        <v>6</v>
      </c>
      <c r="C43" s="16" t="s">
        <v>131</v>
      </c>
      <c r="D43" s="6" t="s">
        <v>37</v>
      </c>
      <c r="E43" s="17" t="s">
        <v>28</v>
      </c>
      <c r="F43" s="17" t="s">
        <v>234</v>
      </c>
      <c r="G43" s="8">
        <v>300784.78000000003</v>
      </c>
      <c r="H43" s="8">
        <v>730576.5</v>
      </c>
      <c r="I43" s="8">
        <v>1031361.28</v>
      </c>
      <c r="J43" s="19"/>
      <c r="L43"/>
    </row>
    <row r="44" spans="1:12" ht="17.25" customHeight="1" x14ac:dyDescent="0.25">
      <c r="A44" s="7" t="s">
        <v>89</v>
      </c>
      <c r="B44" s="7" t="s">
        <v>6</v>
      </c>
      <c r="C44" s="16" t="s">
        <v>133</v>
      </c>
      <c r="D44" s="6" t="s">
        <v>9</v>
      </c>
      <c r="E44" s="17" t="s">
        <v>8</v>
      </c>
      <c r="F44" s="17" t="s">
        <v>235</v>
      </c>
      <c r="G44" s="8">
        <v>796298.3</v>
      </c>
      <c r="H44" s="8">
        <v>506903.67</v>
      </c>
      <c r="I44" s="8">
        <v>1303201.97</v>
      </c>
      <c r="J44" s="19"/>
      <c r="L44"/>
    </row>
    <row r="45" spans="1:12" ht="17.25" customHeight="1" x14ac:dyDescent="0.25">
      <c r="A45" s="7" t="s">
        <v>97</v>
      </c>
      <c r="B45" s="7" t="s">
        <v>6</v>
      </c>
      <c r="C45" s="16" t="s">
        <v>132</v>
      </c>
      <c r="D45" s="6" t="s">
        <v>167</v>
      </c>
      <c r="E45" s="17" t="s">
        <v>212</v>
      </c>
      <c r="F45" s="17" t="s">
        <v>17</v>
      </c>
      <c r="G45" s="8">
        <v>200000</v>
      </c>
      <c r="H45" s="8">
        <v>1054250.8</v>
      </c>
      <c r="I45" s="8">
        <v>1254250.8</v>
      </c>
      <c r="J45" s="19"/>
      <c r="L45"/>
    </row>
    <row r="46" spans="1:12" ht="17.25" customHeight="1" x14ac:dyDescent="0.25">
      <c r="A46" s="7" t="s">
        <v>11</v>
      </c>
      <c r="B46" s="7" t="s">
        <v>6</v>
      </c>
      <c r="C46" s="16" t="s">
        <v>131</v>
      </c>
      <c r="D46" s="6" t="s">
        <v>168</v>
      </c>
      <c r="E46" s="17" t="s">
        <v>205</v>
      </c>
      <c r="F46" s="17" t="s">
        <v>236</v>
      </c>
      <c r="G46" s="8">
        <v>599019.13</v>
      </c>
      <c r="H46" s="8">
        <v>567652.26</v>
      </c>
      <c r="I46" s="8">
        <v>1166671.3899999999</v>
      </c>
      <c r="J46" s="19"/>
      <c r="L46"/>
    </row>
    <row r="47" spans="1:12" ht="17.25" customHeight="1" x14ac:dyDescent="0.25">
      <c r="A47" s="7" t="s">
        <v>98</v>
      </c>
      <c r="B47" s="7" t="s">
        <v>6</v>
      </c>
      <c r="C47" s="16" t="s">
        <v>132</v>
      </c>
      <c r="D47" s="6" t="s">
        <v>31</v>
      </c>
      <c r="E47" s="17" t="s">
        <v>31</v>
      </c>
      <c r="F47" s="17" t="s">
        <v>226</v>
      </c>
      <c r="G47" s="8">
        <v>906217.31</v>
      </c>
      <c r="H47" s="8">
        <v>1393782.43</v>
      </c>
      <c r="I47" s="8">
        <v>2299999.7400000002</v>
      </c>
      <c r="J47" s="19"/>
      <c r="L47"/>
    </row>
    <row r="48" spans="1:12" ht="17.25" customHeight="1" x14ac:dyDescent="0.25">
      <c r="A48" s="7" t="s">
        <v>128</v>
      </c>
      <c r="B48" s="7" t="s">
        <v>6</v>
      </c>
      <c r="C48" s="16" t="s">
        <v>131</v>
      </c>
      <c r="D48" s="6" t="s">
        <v>169</v>
      </c>
      <c r="E48" s="17" t="s">
        <v>211</v>
      </c>
      <c r="F48" s="17" t="s">
        <v>17</v>
      </c>
      <c r="G48" s="8">
        <v>200000</v>
      </c>
      <c r="H48" s="8">
        <v>593883.4</v>
      </c>
      <c r="I48" s="8">
        <v>793883.4</v>
      </c>
      <c r="J48" s="19"/>
      <c r="L48"/>
    </row>
    <row r="49" spans="1:12" ht="17.25" customHeight="1" x14ac:dyDescent="0.25">
      <c r="A49" s="7" t="s">
        <v>104</v>
      </c>
      <c r="B49" s="7" t="s">
        <v>56</v>
      </c>
      <c r="C49" s="16" t="s">
        <v>131</v>
      </c>
      <c r="D49" s="6" t="s">
        <v>53</v>
      </c>
      <c r="E49" s="17" t="s">
        <v>28</v>
      </c>
      <c r="F49" s="17" t="s">
        <v>16</v>
      </c>
      <c r="G49" s="8">
        <v>312400</v>
      </c>
      <c r="H49" s="8">
        <v>0</v>
      </c>
      <c r="I49" s="8">
        <v>312400</v>
      </c>
      <c r="J49" s="19"/>
      <c r="L49"/>
    </row>
    <row r="50" spans="1:12" ht="17.25" customHeight="1" x14ac:dyDescent="0.25">
      <c r="A50" s="7" t="s">
        <v>104</v>
      </c>
      <c r="B50" s="7" t="s">
        <v>6</v>
      </c>
      <c r="C50" s="16" t="s">
        <v>131</v>
      </c>
      <c r="D50" s="6" t="s">
        <v>31</v>
      </c>
      <c r="E50" s="17" t="s">
        <v>31</v>
      </c>
      <c r="F50" s="17" t="s">
        <v>16</v>
      </c>
      <c r="G50" s="8">
        <v>348328.12</v>
      </c>
      <c r="H50" s="8">
        <v>0</v>
      </c>
      <c r="I50" s="8">
        <v>348328.12</v>
      </c>
      <c r="J50" s="19"/>
      <c r="L50"/>
    </row>
    <row r="51" spans="1:12" ht="17.25" customHeight="1" x14ac:dyDescent="0.25">
      <c r="A51" s="7" t="s">
        <v>83</v>
      </c>
      <c r="B51" s="7" t="s">
        <v>56</v>
      </c>
      <c r="C51" s="16" t="s">
        <v>131</v>
      </c>
      <c r="D51" s="6" t="s">
        <v>170</v>
      </c>
      <c r="E51" s="17" t="s">
        <v>213</v>
      </c>
      <c r="F51" s="17" t="s">
        <v>15</v>
      </c>
      <c r="G51" s="8">
        <v>973575.42</v>
      </c>
      <c r="H51" s="8">
        <v>704234.13</v>
      </c>
      <c r="I51" s="8">
        <v>1677809.55</v>
      </c>
      <c r="J51" s="19"/>
      <c r="L51"/>
    </row>
    <row r="52" spans="1:12" ht="17.25" customHeight="1" x14ac:dyDescent="0.25">
      <c r="A52" s="7" t="s">
        <v>83</v>
      </c>
      <c r="B52" s="7" t="s">
        <v>6</v>
      </c>
      <c r="C52" s="16" t="s">
        <v>131</v>
      </c>
      <c r="D52" s="6" t="s">
        <v>170</v>
      </c>
      <c r="E52" s="17" t="s">
        <v>213</v>
      </c>
      <c r="F52" s="17" t="s">
        <v>15</v>
      </c>
      <c r="G52" s="8">
        <v>489728.72</v>
      </c>
      <c r="H52" s="8">
        <v>523426.26</v>
      </c>
      <c r="I52" s="8">
        <v>1013154.98</v>
      </c>
      <c r="J52" s="19"/>
      <c r="L52"/>
    </row>
    <row r="53" spans="1:12" ht="17.25" customHeight="1" x14ac:dyDescent="0.25">
      <c r="A53" s="7" t="s">
        <v>96</v>
      </c>
      <c r="B53" s="7" t="s">
        <v>6</v>
      </c>
      <c r="C53" s="16" t="s">
        <v>133</v>
      </c>
      <c r="D53" s="6" t="s">
        <v>53</v>
      </c>
      <c r="E53" s="17" t="s">
        <v>28</v>
      </c>
      <c r="F53" s="17" t="s">
        <v>224</v>
      </c>
      <c r="G53" s="8">
        <v>1091814.8999999999</v>
      </c>
      <c r="H53" s="8">
        <v>652290.68999999994</v>
      </c>
      <c r="I53" s="8">
        <v>1744105.59</v>
      </c>
      <c r="J53" s="19"/>
      <c r="L53"/>
    </row>
    <row r="54" spans="1:12" ht="17.25" customHeight="1" x14ac:dyDescent="0.25">
      <c r="A54" s="7" t="s">
        <v>80</v>
      </c>
      <c r="B54" s="7" t="s">
        <v>6</v>
      </c>
      <c r="C54" s="16" t="s">
        <v>132</v>
      </c>
      <c r="D54" s="6" t="s">
        <v>31</v>
      </c>
      <c r="E54" s="17" t="s">
        <v>31</v>
      </c>
      <c r="F54" s="17" t="s">
        <v>16</v>
      </c>
      <c r="G54" s="8">
        <v>494692.05</v>
      </c>
      <c r="H54" s="8">
        <v>498738.94</v>
      </c>
      <c r="I54" s="8">
        <v>993430.99</v>
      </c>
      <c r="J54" s="19"/>
      <c r="L54"/>
    </row>
    <row r="55" spans="1:12" ht="17.25" customHeight="1" x14ac:dyDescent="0.25">
      <c r="A55" s="7" t="s">
        <v>51</v>
      </c>
      <c r="B55" s="7" t="s">
        <v>6</v>
      </c>
      <c r="C55" s="16" t="s">
        <v>132</v>
      </c>
      <c r="D55" s="6" t="s">
        <v>31</v>
      </c>
      <c r="E55" s="17" t="s">
        <v>31</v>
      </c>
      <c r="F55" s="17" t="s">
        <v>50</v>
      </c>
      <c r="G55" s="8">
        <v>500351.61</v>
      </c>
      <c r="H55" s="8">
        <v>597672.38</v>
      </c>
      <c r="I55" s="8">
        <v>1098023.99</v>
      </c>
      <c r="J55" s="19"/>
      <c r="L55"/>
    </row>
    <row r="56" spans="1:12" ht="17.25" customHeight="1" x14ac:dyDescent="0.25">
      <c r="A56" s="7" t="s">
        <v>123</v>
      </c>
      <c r="B56" s="7" t="s">
        <v>6</v>
      </c>
      <c r="C56" s="16" t="s">
        <v>131</v>
      </c>
      <c r="D56" s="6" t="s">
        <v>31</v>
      </c>
      <c r="E56" s="17" t="s">
        <v>31</v>
      </c>
      <c r="F56" s="17" t="s">
        <v>237</v>
      </c>
      <c r="G56" s="8">
        <v>491246.31</v>
      </c>
      <c r="H56" s="8">
        <v>479646.46</v>
      </c>
      <c r="I56" s="8">
        <v>970892.77</v>
      </c>
      <c r="J56" s="19"/>
      <c r="L56"/>
    </row>
    <row r="57" spans="1:12" ht="17.25" customHeight="1" x14ac:dyDescent="0.25">
      <c r="A57" s="7" t="s">
        <v>117</v>
      </c>
      <c r="B57" s="7" t="s">
        <v>6</v>
      </c>
      <c r="C57" s="16" t="s">
        <v>133</v>
      </c>
      <c r="D57" s="6" t="s">
        <v>171</v>
      </c>
      <c r="E57" s="17" t="s">
        <v>214</v>
      </c>
      <c r="F57" s="17" t="s">
        <v>237</v>
      </c>
      <c r="G57" s="8">
        <v>815704.4</v>
      </c>
      <c r="H57" s="8">
        <v>467597.52</v>
      </c>
      <c r="I57" s="8">
        <v>1283301.92</v>
      </c>
      <c r="J57" s="19"/>
      <c r="L57"/>
    </row>
    <row r="58" spans="1:12" ht="17.25" customHeight="1" x14ac:dyDescent="0.25">
      <c r="A58" s="7" t="s">
        <v>84</v>
      </c>
      <c r="B58" s="7" t="s">
        <v>6</v>
      </c>
      <c r="C58" s="16" t="s">
        <v>148</v>
      </c>
      <c r="D58" s="6" t="s">
        <v>31</v>
      </c>
      <c r="E58" s="17" t="s">
        <v>31</v>
      </c>
      <c r="F58" s="17" t="s">
        <v>238</v>
      </c>
      <c r="G58" s="8">
        <v>1082492.68</v>
      </c>
      <c r="H58" s="8">
        <v>938188.12</v>
      </c>
      <c r="I58" s="8">
        <v>2020680.8</v>
      </c>
      <c r="J58" s="19"/>
      <c r="L58"/>
    </row>
    <row r="59" spans="1:12" ht="17.25" customHeight="1" x14ac:dyDescent="0.25">
      <c r="A59" s="7" t="s">
        <v>127</v>
      </c>
      <c r="B59" s="7" t="s">
        <v>6</v>
      </c>
      <c r="C59" s="16" t="s">
        <v>132</v>
      </c>
      <c r="D59" s="6" t="s">
        <v>31</v>
      </c>
      <c r="E59" s="17" t="s">
        <v>31</v>
      </c>
      <c r="F59" s="17" t="s">
        <v>239</v>
      </c>
      <c r="G59" s="8">
        <v>209200.87</v>
      </c>
      <c r="H59" s="8">
        <v>405842.75</v>
      </c>
      <c r="I59" s="8">
        <v>615043.62</v>
      </c>
      <c r="J59" s="19"/>
      <c r="L59"/>
    </row>
    <row r="60" spans="1:12" ht="17.25" customHeight="1" x14ac:dyDescent="0.25">
      <c r="A60" s="7" t="s">
        <v>120</v>
      </c>
      <c r="B60" s="7" t="s">
        <v>6</v>
      </c>
      <c r="C60" s="16" t="s">
        <v>132</v>
      </c>
      <c r="D60" s="6" t="s">
        <v>172</v>
      </c>
      <c r="E60" s="17" t="s">
        <v>215</v>
      </c>
      <c r="F60" s="17" t="s">
        <v>33</v>
      </c>
      <c r="G60" s="8">
        <v>222308.14</v>
      </c>
      <c r="H60" s="8">
        <v>247690.53</v>
      </c>
      <c r="I60" s="8">
        <v>469998.67</v>
      </c>
      <c r="J60" s="19"/>
      <c r="L60"/>
    </row>
    <row r="61" spans="1:12" ht="17.25" customHeight="1" x14ac:dyDescent="0.25">
      <c r="A61" s="7" t="s">
        <v>69</v>
      </c>
      <c r="B61" s="7" t="s">
        <v>6</v>
      </c>
      <c r="C61" s="16" t="s">
        <v>131</v>
      </c>
      <c r="D61" s="6" t="s">
        <v>195</v>
      </c>
      <c r="E61" s="17" t="s">
        <v>198</v>
      </c>
      <c r="F61" s="17" t="s">
        <v>239</v>
      </c>
      <c r="G61" s="8">
        <v>365061.44</v>
      </c>
      <c r="H61" s="8">
        <v>429176.95</v>
      </c>
      <c r="I61" s="8">
        <v>794238.39</v>
      </c>
      <c r="J61" s="19"/>
      <c r="L61"/>
    </row>
    <row r="62" spans="1:12" ht="17.25" customHeight="1" x14ac:dyDescent="0.25">
      <c r="A62" s="7" t="s">
        <v>121</v>
      </c>
      <c r="B62" s="7" t="s">
        <v>6</v>
      </c>
      <c r="C62" s="16" t="s">
        <v>133</v>
      </c>
      <c r="D62" s="6" t="s">
        <v>31</v>
      </c>
      <c r="E62" s="17" t="s">
        <v>31</v>
      </c>
      <c r="F62" s="17" t="s">
        <v>16</v>
      </c>
      <c r="G62" s="8">
        <v>874974.25</v>
      </c>
      <c r="H62" s="8">
        <v>3123249.44</v>
      </c>
      <c r="I62" s="8">
        <v>3998223.66</v>
      </c>
      <c r="J62" s="19"/>
      <c r="L62"/>
    </row>
    <row r="63" spans="1:12" ht="17.25" customHeight="1" x14ac:dyDescent="0.25">
      <c r="A63" s="7" t="s">
        <v>118</v>
      </c>
      <c r="B63" s="7" t="s">
        <v>6</v>
      </c>
      <c r="C63" s="16" t="s">
        <v>131</v>
      </c>
      <c r="D63" s="6" t="s">
        <v>173</v>
      </c>
      <c r="E63" s="17" t="s">
        <v>21</v>
      </c>
      <c r="F63" s="17" t="s">
        <v>226</v>
      </c>
      <c r="G63" s="8">
        <v>397671.86</v>
      </c>
      <c r="H63" s="8">
        <v>440299.45</v>
      </c>
      <c r="I63" s="8">
        <v>837971.31</v>
      </c>
      <c r="J63" s="19"/>
      <c r="L63"/>
    </row>
    <row r="64" spans="1:12" ht="17.25" customHeight="1" x14ac:dyDescent="0.25">
      <c r="A64" s="7" t="s">
        <v>68</v>
      </c>
      <c r="B64" s="7" t="s">
        <v>56</v>
      </c>
      <c r="C64" s="16" t="s">
        <v>133</v>
      </c>
      <c r="D64" s="6" t="s">
        <v>174</v>
      </c>
      <c r="E64" s="17" t="s">
        <v>216</v>
      </c>
      <c r="F64" s="17" t="s">
        <v>12</v>
      </c>
      <c r="G64" s="8">
        <v>475268.3</v>
      </c>
      <c r="H64" s="8">
        <v>454472.8</v>
      </c>
      <c r="I64" s="8">
        <v>929741.1</v>
      </c>
      <c r="J64" s="19"/>
      <c r="L64"/>
    </row>
    <row r="65" spans="1:12" ht="17.25" customHeight="1" x14ac:dyDescent="0.25">
      <c r="A65" s="7" t="s">
        <v>68</v>
      </c>
      <c r="B65" s="7" t="s">
        <v>6</v>
      </c>
      <c r="C65" s="16" t="s">
        <v>133</v>
      </c>
      <c r="D65" s="6" t="s">
        <v>175</v>
      </c>
      <c r="E65" s="17" t="s">
        <v>199</v>
      </c>
      <c r="F65" s="17" t="s">
        <v>12</v>
      </c>
      <c r="G65" s="8">
        <v>1503039.35</v>
      </c>
      <c r="H65" s="8">
        <v>315263.68</v>
      </c>
      <c r="I65" s="8">
        <v>1818303.03</v>
      </c>
      <c r="J65" s="19"/>
      <c r="L65"/>
    </row>
    <row r="66" spans="1:12" ht="17.25" customHeight="1" x14ac:dyDescent="0.25">
      <c r="A66" s="7" t="s">
        <v>119</v>
      </c>
      <c r="B66" s="7" t="s">
        <v>6</v>
      </c>
      <c r="C66" s="16" t="s">
        <v>131</v>
      </c>
      <c r="D66" s="6" t="s">
        <v>150</v>
      </c>
      <c r="E66" s="17" t="s">
        <v>196</v>
      </c>
      <c r="F66" s="17" t="s">
        <v>12</v>
      </c>
      <c r="G66" s="8">
        <v>291000</v>
      </c>
      <c r="H66" s="8">
        <v>0</v>
      </c>
      <c r="I66" s="8">
        <v>291000</v>
      </c>
      <c r="J66" s="19"/>
      <c r="L66"/>
    </row>
    <row r="67" spans="1:12" ht="17.25" customHeight="1" x14ac:dyDescent="0.25">
      <c r="A67" s="7" t="s">
        <v>55</v>
      </c>
      <c r="B67" s="7" t="s">
        <v>6</v>
      </c>
      <c r="C67" s="16" t="s">
        <v>131</v>
      </c>
      <c r="D67" s="6" t="s">
        <v>176</v>
      </c>
      <c r="E67" s="17" t="s">
        <v>208</v>
      </c>
      <c r="F67" s="17" t="s">
        <v>25</v>
      </c>
      <c r="G67" s="8">
        <v>246020.98</v>
      </c>
      <c r="H67" s="8">
        <v>219521.18</v>
      </c>
      <c r="I67" s="8">
        <v>465542.16</v>
      </c>
      <c r="J67" s="19"/>
      <c r="L67"/>
    </row>
    <row r="68" spans="1:12" ht="17.25" customHeight="1" x14ac:dyDescent="0.25">
      <c r="A68" s="7" t="s">
        <v>58</v>
      </c>
      <c r="B68" s="7" t="s">
        <v>6</v>
      </c>
      <c r="C68" s="16" t="s">
        <v>131</v>
      </c>
      <c r="D68" s="6" t="s">
        <v>177</v>
      </c>
      <c r="E68" s="17" t="s">
        <v>217</v>
      </c>
      <c r="F68" s="17" t="s">
        <v>240</v>
      </c>
      <c r="G68" s="8">
        <v>1892904.18</v>
      </c>
      <c r="H68" s="8">
        <v>1469625</v>
      </c>
      <c r="I68" s="8">
        <v>3362529.18</v>
      </c>
      <c r="J68" s="19"/>
      <c r="L68"/>
    </row>
    <row r="69" spans="1:12" ht="17.25" customHeight="1" x14ac:dyDescent="0.25">
      <c r="A69" s="7" t="s">
        <v>58</v>
      </c>
      <c r="B69" s="7" t="s">
        <v>56</v>
      </c>
      <c r="C69" s="16" t="s">
        <v>131</v>
      </c>
      <c r="D69" s="6" t="s">
        <v>178</v>
      </c>
      <c r="E69" s="17" t="s">
        <v>218</v>
      </c>
      <c r="F69" s="17" t="s">
        <v>240</v>
      </c>
      <c r="G69" s="8">
        <v>648337</v>
      </c>
      <c r="H69" s="8">
        <v>535435</v>
      </c>
      <c r="I69" s="8">
        <v>1183772</v>
      </c>
      <c r="J69" s="19"/>
      <c r="L69"/>
    </row>
    <row r="70" spans="1:12" ht="17.25" customHeight="1" x14ac:dyDescent="0.25">
      <c r="A70" s="7" t="s">
        <v>58</v>
      </c>
      <c r="B70" s="7" t="s">
        <v>63</v>
      </c>
      <c r="C70" s="16" t="s">
        <v>131</v>
      </c>
      <c r="D70" s="6" t="s">
        <v>9</v>
      </c>
      <c r="E70" s="17" t="s">
        <v>8</v>
      </c>
      <c r="F70" s="17" t="s">
        <v>240</v>
      </c>
      <c r="G70" s="8">
        <v>200000</v>
      </c>
      <c r="H70" s="8">
        <v>288916.88</v>
      </c>
      <c r="I70" s="8">
        <v>488916.88</v>
      </c>
      <c r="J70" s="19"/>
      <c r="L70"/>
    </row>
    <row r="71" spans="1:12" ht="17.25" customHeight="1" x14ac:dyDescent="0.25">
      <c r="A71" s="7" t="s">
        <v>81</v>
      </c>
      <c r="B71" s="7" t="s">
        <v>6</v>
      </c>
      <c r="C71" s="16" t="s">
        <v>132</v>
      </c>
      <c r="D71" s="6" t="s">
        <v>31</v>
      </c>
      <c r="E71" s="17" t="s">
        <v>31</v>
      </c>
      <c r="F71" s="17" t="s">
        <v>30</v>
      </c>
      <c r="G71" s="8">
        <v>617720.4</v>
      </c>
      <c r="H71" s="8">
        <v>678905</v>
      </c>
      <c r="I71" s="8">
        <v>1296625.3999999999</v>
      </c>
      <c r="J71" s="19"/>
      <c r="L71"/>
    </row>
    <row r="72" spans="1:12" ht="17.25" customHeight="1" x14ac:dyDescent="0.25">
      <c r="A72" s="7" t="s">
        <v>81</v>
      </c>
      <c r="B72" s="7" t="s">
        <v>56</v>
      </c>
      <c r="C72" s="16" t="s">
        <v>148</v>
      </c>
      <c r="D72" s="6" t="s">
        <v>31</v>
      </c>
      <c r="E72" s="17" t="s">
        <v>31</v>
      </c>
      <c r="F72" s="17" t="s">
        <v>30</v>
      </c>
      <c r="G72" s="8">
        <v>312221.59999999998</v>
      </c>
      <c r="H72" s="8">
        <v>394826.57</v>
      </c>
      <c r="I72" s="8">
        <v>707048.17</v>
      </c>
      <c r="J72" s="19"/>
      <c r="L72"/>
    </row>
    <row r="73" spans="1:12" ht="17.25" customHeight="1" x14ac:dyDescent="0.25">
      <c r="A73" s="7" t="s">
        <v>113</v>
      </c>
      <c r="B73" s="7" t="s">
        <v>6</v>
      </c>
      <c r="C73" s="16" t="s">
        <v>133</v>
      </c>
      <c r="D73" s="6" t="s">
        <v>179</v>
      </c>
      <c r="E73" s="17" t="s">
        <v>200</v>
      </c>
      <c r="F73" s="17" t="s">
        <v>241</v>
      </c>
      <c r="G73" s="8">
        <v>630983.36</v>
      </c>
      <c r="H73" s="8">
        <v>1573899.7</v>
      </c>
      <c r="I73" s="8">
        <v>2204883.06</v>
      </c>
      <c r="J73" s="19"/>
      <c r="L73"/>
    </row>
    <row r="74" spans="1:12" ht="17.25" customHeight="1" x14ac:dyDescent="0.25">
      <c r="A74" s="7" t="s">
        <v>108</v>
      </c>
      <c r="B74" s="7" t="s">
        <v>6</v>
      </c>
      <c r="C74" s="16" t="s">
        <v>131</v>
      </c>
      <c r="D74" s="6" t="s">
        <v>180</v>
      </c>
      <c r="E74" s="17" t="s">
        <v>219</v>
      </c>
      <c r="F74" s="17" t="s">
        <v>227</v>
      </c>
      <c r="G74" s="8">
        <v>2294245.23</v>
      </c>
      <c r="H74" s="8">
        <v>0</v>
      </c>
      <c r="I74" s="8">
        <v>2294245.23</v>
      </c>
      <c r="J74" s="19"/>
      <c r="L74"/>
    </row>
    <row r="75" spans="1:12" ht="17.25" customHeight="1" x14ac:dyDescent="0.25">
      <c r="A75" s="7" t="s">
        <v>78</v>
      </c>
      <c r="B75" s="7" t="s">
        <v>6</v>
      </c>
      <c r="C75" s="16" t="s">
        <v>133</v>
      </c>
      <c r="D75" s="6" t="s">
        <v>31</v>
      </c>
      <c r="E75" s="17" t="s">
        <v>31</v>
      </c>
      <c r="F75" s="17" t="s">
        <v>12</v>
      </c>
      <c r="G75" s="8">
        <v>472982</v>
      </c>
      <c r="H75" s="8">
        <v>381873.9</v>
      </c>
      <c r="I75" s="8">
        <v>854855.9</v>
      </c>
      <c r="J75" s="19"/>
      <c r="L75"/>
    </row>
    <row r="76" spans="1:12" ht="17.25" customHeight="1" x14ac:dyDescent="0.25">
      <c r="A76" s="7" t="s">
        <v>86</v>
      </c>
      <c r="B76" s="7" t="s">
        <v>6</v>
      </c>
      <c r="C76" s="16" t="s">
        <v>132</v>
      </c>
      <c r="D76" s="6" t="s">
        <v>163</v>
      </c>
      <c r="E76" s="17" t="s">
        <v>28</v>
      </c>
      <c r="F76" s="17" t="s">
        <v>30</v>
      </c>
      <c r="G76" s="8">
        <v>2481431.2200000002</v>
      </c>
      <c r="H76" s="8">
        <v>2526886.36</v>
      </c>
      <c r="I76" s="8">
        <v>5008317.58</v>
      </c>
      <c r="J76" s="19"/>
      <c r="L76"/>
    </row>
    <row r="77" spans="1:12" ht="17.25" customHeight="1" x14ac:dyDescent="0.25">
      <c r="A77" s="7" t="s">
        <v>90</v>
      </c>
      <c r="B77" s="7" t="s">
        <v>6</v>
      </c>
      <c r="C77" s="16" t="s">
        <v>133</v>
      </c>
      <c r="D77" s="6" t="s">
        <v>181</v>
      </c>
      <c r="E77" s="17" t="s">
        <v>205</v>
      </c>
      <c r="F77" s="17" t="s">
        <v>235</v>
      </c>
      <c r="G77" s="8">
        <v>229084.34</v>
      </c>
      <c r="H77" s="8">
        <v>610866.96</v>
      </c>
      <c r="I77" s="8">
        <v>839951.3</v>
      </c>
      <c r="J77" s="19"/>
      <c r="L77"/>
    </row>
    <row r="78" spans="1:12" ht="17.25" customHeight="1" x14ac:dyDescent="0.25">
      <c r="A78" s="7" t="s">
        <v>105</v>
      </c>
      <c r="B78" s="7" t="s">
        <v>6</v>
      </c>
      <c r="C78" s="16" t="s">
        <v>133</v>
      </c>
      <c r="D78" s="6" t="s">
        <v>182</v>
      </c>
      <c r="E78" s="17" t="s">
        <v>206</v>
      </c>
      <c r="F78" s="17" t="s">
        <v>36</v>
      </c>
      <c r="G78" s="8">
        <v>656611</v>
      </c>
      <c r="H78" s="8">
        <v>318389</v>
      </c>
      <c r="I78" s="8">
        <v>975000</v>
      </c>
      <c r="J78" s="19"/>
      <c r="L78"/>
    </row>
    <row r="79" spans="1:12" ht="17.25" customHeight="1" x14ac:dyDescent="0.25">
      <c r="A79" s="7" t="s">
        <v>79</v>
      </c>
      <c r="B79" s="7" t="s">
        <v>6</v>
      </c>
      <c r="C79" s="16" t="s">
        <v>133</v>
      </c>
      <c r="D79" s="6" t="s">
        <v>31</v>
      </c>
      <c r="E79" s="17" t="s">
        <v>31</v>
      </c>
      <c r="F79" s="17" t="s">
        <v>33</v>
      </c>
      <c r="G79" s="8">
        <v>333927.5</v>
      </c>
      <c r="H79" s="8">
        <v>680945</v>
      </c>
      <c r="I79" s="8">
        <v>1014872.5</v>
      </c>
      <c r="J79" s="19"/>
      <c r="L79"/>
    </row>
    <row r="80" spans="1:12" ht="17.25" customHeight="1" x14ac:dyDescent="0.25">
      <c r="A80" s="7" t="s">
        <v>62</v>
      </c>
      <c r="B80" s="7" t="s">
        <v>6</v>
      </c>
      <c r="C80" s="16" t="s">
        <v>133</v>
      </c>
      <c r="D80" s="6" t="s">
        <v>183</v>
      </c>
      <c r="E80" s="17" t="s">
        <v>8</v>
      </c>
      <c r="F80" s="17" t="s">
        <v>242</v>
      </c>
      <c r="G80" s="8">
        <v>777407.4</v>
      </c>
      <c r="H80" s="8">
        <v>0</v>
      </c>
      <c r="I80" s="8">
        <v>777407.4</v>
      </c>
      <c r="J80" s="19"/>
      <c r="L80"/>
    </row>
    <row r="81" spans="1:12" ht="17.25" customHeight="1" x14ac:dyDescent="0.25">
      <c r="A81" s="7" t="s">
        <v>62</v>
      </c>
      <c r="B81" s="7" t="s">
        <v>56</v>
      </c>
      <c r="C81" s="16" t="s">
        <v>131</v>
      </c>
      <c r="D81" s="6" t="s">
        <v>183</v>
      </c>
      <c r="E81" s="17" t="s">
        <v>8</v>
      </c>
      <c r="F81" s="17" t="s">
        <v>242</v>
      </c>
      <c r="G81" s="8">
        <v>329423.48</v>
      </c>
      <c r="H81" s="8">
        <v>0</v>
      </c>
      <c r="I81" s="8">
        <v>329423.48</v>
      </c>
      <c r="J81" s="19"/>
      <c r="L81"/>
    </row>
    <row r="82" spans="1:12" ht="17.25" customHeight="1" x14ac:dyDescent="0.25">
      <c r="A82" s="7" t="s">
        <v>52</v>
      </c>
      <c r="B82" s="7" t="s">
        <v>6</v>
      </c>
      <c r="C82" s="16" t="s">
        <v>131</v>
      </c>
      <c r="D82" s="6" t="s">
        <v>163</v>
      </c>
      <c r="E82" s="17" t="s">
        <v>28</v>
      </c>
      <c r="F82" s="17" t="s">
        <v>15</v>
      </c>
      <c r="G82" s="8">
        <v>378545</v>
      </c>
      <c r="H82" s="8">
        <v>256329.2</v>
      </c>
      <c r="I82" s="8">
        <v>634874.19999999995</v>
      </c>
      <c r="J82" s="19"/>
      <c r="L82"/>
    </row>
    <row r="83" spans="1:12" ht="17.25" customHeight="1" x14ac:dyDescent="0.25">
      <c r="A83" s="7" t="s">
        <v>93</v>
      </c>
      <c r="B83" s="7" t="s">
        <v>6</v>
      </c>
      <c r="C83" s="16" t="s">
        <v>131</v>
      </c>
      <c r="D83" s="6" t="s">
        <v>49</v>
      </c>
      <c r="E83" s="17" t="s">
        <v>28</v>
      </c>
      <c r="F83" s="17" t="s">
        <v>243</v>
      </c>
      <c r="G83" s="8">
        <v>469987.33</v>
      </c>
      <c r="H83" s="8">
        <v>2898166</v>
      </c>
      <c r="I83" s="8">
        <v>3368153.33</v>
      </c>
      <c r="J83" s="19"/>
      <c r="L83"/>
    </row>
    <row r="84" spans="1:12" ht="17.25" customHeight="1" x14ac:dyDescent="0.25">
      <c r="A84" s="7" t="s">
        <v>101</v>
      </c>
      <c r="B84" s="7" t="s">
        <v>6</v>
      </c>
      <c r="C84" s="16" t="s">
        <v>131</v>
      </c>
      <c r="D84" s="6" t="s">
        <v>49</v>
      </c>
      <c r="E84" s="17" t="s">
        <v>28</v>
      </c>
      <c r="F84" s="17" t="s">
        <v>25</v>
      </c>
      <c r="G84" s="8">
        <v>586740</v>
      </c>
      <c r="H84" s="8">
        <v>2667243.73</v>
      </c>
      <c r="I84" s="8">
        <v>3253983.73</v>
      </c>
      <c r="J84" s="19"/>
      <c r="L84"/>
    </row>
    <row r="85" spans="1:12" ht="17.25" customHeight="1" x14ac:dyDescent="0.25">
      <c r="A85" s="7" t="s">
        <v>125</v>
      </c>
      <c r="B85" s="7" t="s">
        <v>6</v>
      </c>
      <c r="C85" s="16" t="s">
        <v>131</v>
      </c>
      <c r="D85" s="6" t="s">
        <v>184</v>
      </c>
      <c r="E85" s="17" t="s">
        <v>201</v>
      </c>
      <c r="F85" s="17" t="s">
        <v>61</v>
      </c>
      <c r="G85" s="8">
        <v>498974.07</v>
      </c>
      <c r="H85" s="8">
        <v>525245.93000000005</v>
      </c>
      <c r="I85" s="8">
        <v>1024220</v>
      </c>
      <c r="J85" s="19"/>
      <c r="L85"/>
    </row>
    <row r="86" spans="1:12" ht="17.25" customHeight="1" x14ac:dyDescent="0.25">
      <c r="A86" s="7" t="s">
        <v>76</v>
      </c>
      <c r="B86" s="7" t="s">
        <v>6</v>
      </c>
      <c r="C86" s="16" t="s">
        <v>131</v>
      </c>
      <c r="D86" s="6" t="s">
        <v>53</v>
      </c>
      <c r="E86" s="17" t="s">
        <v>28</v>
      </c>
      <c r="F86" s="17" t="s">
        <v>224</v>
      </c>
      <c r="G86" s="8">
        <v>271670</v>
      </c>
      <c r="H86" s="8">
        <v>329096</v>
      </c>
      <c r="I86" s="8">
        <v>600766</v>
      </c>
      <c r="J86" s="19"/>
      <c r="L86"/>
    </row>
    <row r="87" spans="1:12" ht="17.25" customHeight="1" x14ac:dyDescent="0.25">
      <c r="A87" s="7" t="s">
        <v>106</v>
      </c>
      <c r="B87" s="7" t="s">
        <v>6</v>
      </c>
      <c r="C87" s="16" t="s">
        <v>132</v>
      </c>
      <c r="D87" s="6" t="s">
        <v>185</v>
      </c>
      <c r="E87" s="17" t="s">
        <v>202</v>
      </c>
      <c r="F87" s="17" t="s">
        <v>107</v>
      </c>
      <c r="G87" s="8">
        <v>234528.27</v>
      </c>
      <c r="H87" s="8">
        <v>416521.37</v>
      </c>
      <c r="I87" s="8">
        <v>651049.64</v>
      </c>
      <c r="J87" s="19"/>
      <c r="L87"/>
    </row>
    <row r="88" spans="1:12" ht="17.25" customHeight="1" x14ac:dyDescent="0.25">
      <c r="A88" s="7" t="s">
        <v>92</v>
      </c>
      <c r="B88" s="7" t="s">
        <v>6</v>
      </c>
      <c r="C88" s="16" t="s">
        <v>132</v>
      </c>
      <c r="D88" s="6" t="s">
        <v>186</v>
      </c>
      <c r="E88" s="17" t="s">
        <v>197</v>
      </c>
      <c r="F88" s="17" t="s">
        <v>244</v>
      </c>
      <c r="G88" s="8">
        <v>551075.39</v>
      </c>
      <c r="H88" s="8">
        <v>498924.61</v>
      </c>
      <c r="I88" s="8">
        <v>1050000</v>
      </c>
      <c r="J88" s="19"/>
      <c r="L88"/>
    </row>
    <row r="89" spans="1:12" ht="17.25" customHeight="1" x14ac:dyDescent="0.25">
      <c r="A89" s="7" t="s">
        <v>40</v>
      </c>
      <c r="B89" s="7" t="s">
        <v>6</v>
      </c>
      <c r="C89" s="16" t="s">
        <v>131</v>
      </c>
      <c r="D89" s="6" t="s">
        <v>41</v>
      </c>
      <c r="E89" s="17" t="s">
        <v>42</v>
      </c>
      <c r="F89" s="17" t="s">
        <v>226</v>
      </c>
      <c r="G89" s="8">
        <v>570685</v>
      </c>
      <c r="H89" s="8">
        <v>1064391.25</v>
      </c>
      <c r="I89" s="8">
        <v>1635076.25</v>
      </c>
      <c r="J89" s="19"/>
      <c r="L89"/>
    </row>
    <row r="90" spans="1:12" ht="17.25" customHeight="1" x14ac:dyDescent="0.25">
      <c r="A90" s="7" t="s">
        <v>57</v>
      </c>
      <c r="B90" s="7" t="s">
        <v>6</v>
      </c>
      <c r="C90" s="16" t="s">
        <v>131</v>
      </c>
      <c r="D90" s="6" t="s">
        <v>187</v>
      </c>
      <c r="E90" s="17" t="s">
        <v>220</v>
      </c>
      <c r="F90" s="17" t="s">
        <v>245</v>
      </c>
      <c r="G90" s="8">
        <v>824653.31</v>
      </c>
      <c r="H90" s="8">
        <v>1885993.55</v>
      </c>
      <c r="I90" s="8">
        <v>2710646.86</v>
      </c>
      <c r="J90" s="19"/>
      <c r="L90"/>
    </row>
    <row r="91" spans="1:12" ht="17.25" customHeight="1" x14ac:dyDescent="0.25">
      <c r="A91" s="7" t="s">
        <v>57</v>
      </c>
      <c r="B91" s="7" t="s">
        <v>56</v>
      </c>
      <c r="C91" s="16" t="s">
        <v>131</v>
      </c>
      <c r="D91" s="6" t="s">
        <v>188</v>
      </c>
      <c r="E91" s="17" t="s">
        <v>219</v>
      </c>
      <c r="F91" s="17" t="s">
        <v>245</v>
      </c>
      <c r="G91" s="8">
        <v>1296657.6100000001</v>
      </c>
      <c r="H91" s="8">
        <v>1853417.07</v>
      </c>
      <c r="I91" s="8">
        <v>3150074.68</v>
      </c>
      <c r="J91" s="19"/>
      <c r="L91"/>
    </row>
    <row r="92" spans="1:12" ht="17.25" customHeight="1" x14ac:dyDescent="0.25">
      <c r="A92" s="7" t="s">
        <v>112</v>
      </c>
      <c r="B92" s="7" t="s">
        <v>6</v>
      </c>
      <c r="C92" s="16" t="s">
        <v>133</v>
      </c>
      <c r="D92" s="6" t="s">
        <v>7</v>
      </c>
      <c r="E92" s="17" t="s">
        <v>205</v>
      </c>
      <c r="F92" s="17" t="s">
        <v>246</v>
      </c>
      <c r="G92" s="8">
        <v>200000</v>
      </c>
      <c r="H92" s="8">
        <v>285321.8</v>
      </c>
      <c r="I92" s="8">
        <v>485321.8</v>
      </c>
      <c r="J92" s="19"/>
      <c r="L92"/>
    </row>
    <row r="93" spans="1:12" ht="17.25" customHeight="1" x14ac:dyDescent="0.25">
      <c r="A93" s="7" t="s">
        <v>26</v>
      </c>
      <c r="B93" s="7" t="s">
        <v>6</v>
      </c>
      <c r="C93" s="16" t="s">
        <v>132</v>
      </c>
      <c r="D93" s="6" t="s">
        <v>27</v>
      </c>
      <c r="E93" s="17" t="s">
        <v>28</v>
      </c>
      <c r="F93" s="17" t="s">
        <v>247</v>
      </c>
      <c r="G93" s="8">
        <v>1862102.11</v>
      </c>
      <c r="H93" s="8">
        <v>1350617.19</v>
      </c>
      <c r="I93" s="8">
        <v>3212719.3</v>
      </c>
      <c r="J93" s="19"/>
      <c r="L93"/>
    </row>
    <row r="94" spans="1:12" ht="17.25" customHeight="1" x14ac:dyDescent="0.25">
      <c r="A94" s="7" t="s">
        <v>26</v>
      </c>
      <c r="B94" s="7" t="s">
        <v>56</v>
      </c>
      <c r="C94" s="16" t="s">
        <v>133</v>
      </c>
      <c r="D94" s="6" t="s">
        <v>27</v>
      </c>
      <c r="E94" s="17" t="s">
        <v>28</v>
      </c>
      <c r="F94" s="17" t="s">
        <v>247</v>
      </c>
      <c r="G94" s="8">
        <v>1216908.07</v>
      </c>
      <c r="H94" s="8">
        <v>606610.98</v>
      </c>
      <c r="I94" s="8">
        <v>1823519.05</v>
      </c>
      <c r="J94" s="19"/>
      <c r="L94"/>
    </row>
    <row r="95" spans="1:12" ht="17.25" customHeight="1" x14ac:dyDescent="0.25">
      <c r="A95" s="7" t="s">
        <v>122</v>
      </c>
      <c r="B95" s="7" t="s">
        <v>6</v>
      </c>
      <c r="C95" s="16" t="s">
        <v>131</v>
      </c>
      <c r="D95" s="6" t="s">
        <v>189</v>
      </c>
      <c r="E95" s="17" t="s">
        <v>203</v>
      </c>
      <c r="F95" s="17" t="s">
        <v>16</v>
      </c>
      <c r="G95" s="8">
        <v>356367.97</v>
      </c>
      <c r="H95" s="8">
        <v>1066634.53</v>
      </c>
      <c r="I95" s="8">
        <v>1423002.5</v>
      </c>
      <c r="J95" s="19"/>
      <c r="L95"/>
    </row>
    <row r="96" spans="1:12" ht="17.25" customHeight="1" x14ac:dyDescent="0.25">
      <c r="A96" s="7" t="s">
        <v>72</v>
      </c>
      <c r="B96" s="7" t="s">
        <v>6</v>
      </c>
      <c r="C96" s="16" t="s">
        <v>148</v>
      </c>
      <c r="D96" s="6" t="s">
        <v>190</v>
      </c>
      <c r="E96" s="17" t="s">
        <v>21</v>
      </c>
      <c r="F96" s="17" t="s">
        <v>242</v>
      </c>
      <c r="G96" s="8">
        <v>516852.93</v>
      </c>
      <c r="H96" s="8">
        <v>1448398.26</v>
      </c>
      <c r="I96" s="8">
        <v>1965251.19</v>
      </c>
      <c r="J96" s="19"/>
      <c r="L96"/>
    </row>
    <row r="97" spans="1:12" ht="17.25" customHeight="1" x14ac:dyDescent="0.25">
      <c r="A97" s="7" t="s">
        <v>72</v>
      </c>
      <c r="B97" s="7" t="s">
        <v>56</v>
      </c>
      <c r="C97" s="16" t="s">
        <v>131</v>
      </c>
      <c r="D97" s="6" t="s">
        <v>34</v>
      </c>
      <c r="E97" s="17" t="s">
        <v>21</v>
      </c>
      <c r="F97" s="17" t="s">
        <v>242</v>
      </c>
      <c r="G97" s="8">
        <v>1345688.83</v>
      </c>
      <c r="H97" s="8">
        <v>701479</v>
      </c>
      <c r="I97" s="8">
        <v>2047167.83</v>
      </c>
      <c r="J97" s="19"/>
      <c r="L97"/>
    </row>
    <row r="98" spans="1:12" ht="17.25" customHeight="1" x14ac:dyDescent="0.25">
      <c r="A98" s="7" t="s">
        <v>111</v>
      </c>
      <c r="B98" s="7" t="s">
        <v>6</v>
      </c>
      <c r="C98" s="16" t="s">
        <v>133</v>
      </c>
      <c r="D98" s="6" t="s">
        <v>34</v>
      </c>
      <c r="E98" s="17" t="s">
        <v>21</v>
      </c>
      <c r="F98" s="17" t="s">
        <v>248</v>
      </c>
      <c r="G98" s="8">
        <v>639520</v>
      </c>
      <c r="H98" s="8">
        <v>608340</v>
      </c>
      <c r="I98" s="8">
        <v>1247860</v>
      </c>
      <c r="J98" s="19"/>
      <c r="L98"/>
    </row>
    <row r="99" spans="1:12" ht="17.25" customHeight="1" x14ac:dyDescent="0.25">
      <c r="A99" s="7" t="s">
        <v>109</v>
      </c>
      <c r="B99" s="7" t="s">
        <v>6</v>
      </c>
      <c r="C99" s="16" t="s">
        <v>148</v>
      </c>
      <c r="D99" s="6" t="s">
        <v>10</v>
      </c>
      <c r="E99" s="17" t="s">
        <v>8</v>
      </c>
      <c r="F99" s="17" t="s">
        <v>249</v>
      </c>
      <c r="G99" s="8">
        <v>241127.74</v>
      </c>
      <c r="H99" s="8">
        <v>279080.78000000003</v>
      </c>
      <c r="I99" s="8">
        <v>520208.52</v>
      </c>
      <c r="J99" s="19"/>
      <c r="L99"/>
    </row>
    <row r="100" spans="1:12" ht="17.25" customHeight="1" x14ac:dyDescent="0.25">
      <c r="A100" s="7" t="s">
        <v>82</v>
      </c>
      <c r="B100" s="7" t="s">
        <v>6</v>
      </c>
      <c r="C100" s="16" t="s">
        <v>133</v>
      </c>
      <c r="D100" s="6" t="s">
        <v>191</v>
      </c>
      <c r="E100" s="17" t="s">
        <v>206</v>
      </c>
      <c r="F100" s="17" t="s">
        <v>250</v>
      </c>
      <c r="G100" s="8">
        <v>324000</v>
      </c>
      <c r="H100" s="8">
        <v>0</v>
      </c>
      <c r="I100" s="8">
        <v>324000</v>
      </c>
      <c r="J100" s="19"/>
      <c r="L100"/>
    </row>
    <row r="101" spans="1:12" ht="17.25" customHeight="1" x14ac:dyDescent="0.25">
      <c r="A101" s="7" t="s">
        <v>88</v>
      </c>
      <c r="B101" s="7" t="s">
        <v>6</v>
      </c>
      <c r="C101" s="16" t="s">
        <v>133</v>
      </c>
      <c r="D101" s="6" t="s">
        <v>27</v>
      </c>
      <c r="E101" s="17" t="s">
        <v>28</v>
      </c>
      <c r="F101" s="17" t="s">
        <v>250</v>
      </c>
      <c r="G101" s="8">
        <v>252342.95</v>
      </c>
      <c r="H101" s="8">
        <v>207615.72</v>
      </c>
      <c r="I101" s="8">
        <v>459958.67</v>
      </c>
      <c r="J101" s="19"/>
      <c r="L101"/>
    </row>
    <row r="102" spans="1:12" ht="17.25" customHeight="1" x14ac:dyDescent="0.25">
      <c r="A102" s="7" t="s">
        <v>54</v>
      </c>
      <c r="B102" s="7" t="s">
        <v>56</v>
      </c>
      <c r="C102" s="16" t="s">
        <v>131</v>
      </c>
      <c r="D102" s="6" t="s">
        <v>192</v>
      </c>
      <c r="E102" s="17" t="s">
        <v>8</v>
      </c>
      <c r="F102" s="17" t="s">
        <v>226</v>
      </c>
      <c r="G102" s="8">
        <v>1123628.71</v>
      </c>
      <c r="H102" s="8">
        <v>3184033.13</v>
      </c>
      <c r="I102" s="8">
        <v>4307661.84</v>
      </c>
      <c r="J102" s="19"/>
      <c r="L102"/>
    </row>
    <row r="103" spans="1:12" ht="17.25" customHeight="1" x14ac:dyDescent="0.25">
      <c r="A103" s="7" t="s">
        <v>54</v>
      </c>
      <c r="B103" s="7" t="s">
        <v>6</v>
      </c>
      <c r="C103" s="16" t="s">
        <v>132</v>
      </c>
      <c r="D103" s="6" t="s">
        <v>193</v>
      </c>
      <c r="E103" s="17" t="s">
        <v>8</v>
      </c>
      <c r="F103" s="17" t="s">
        <v>226</v>
      </c>
      <c r="G103" s="8">
        <v>579705.4</v>
      </c>
      <c r="H103" s="8">
        <v>1304656.25</v>
      </c>
      <c r="I103" s="8">
        <v>1884361.65</v>
      </c>
      <c r="J103" s="19"/>
      <c r="L103"/>
    </row>
    <row r="104" spans="1:12" ht="17.25" customHeight="1" x14ac:dyDescent="0.25">
      <c r="A104" s="7" t="s">
        <v>75</v>
      </c>
      <c r="B104" s="7" t="s">
        <v>6</v>
      </c>
      <c r="C104" s="16" t="s">
        <v>131</v>
      </c>
      <c r="D104" s="6" t="s">
        <v>34</v>
      </c>
      <c r="E104" s="17" t="s">
        <v>21</v>
      </c>
      <c r="F104" s="17" t="s">
        <v>251</v>
      </c>
      <c r="G104" s="8">
        <v>247110.94</v>
      </c>
      <c r="H104" s="8">
        <v>302603.86</v>
      </c>
      <c r="I104" s="8">
        <v>549714.80000000005</v>
      </c>
      <c r="J104" s="19"/>
      <c r="L104"/>
    </row>
    <row r="105" spans="1:12" ht="17.25" customHeight="1" x14ac:dyDescent="0.25">
      <c r="A105" s="7" t="s">
        <v>77</v>
      </c>
      <c r="B105" s="7" t="s">
        <v>6</v>
      </c>
      <c r="C105" s="16" t="s">
        <v>133</v>
      </c>
      <c r="D105" s="6" t="s">
        <v>194</v>
      </c>
      <c r="E105" s="17" t="s">
        <v>8</v>
      </c>
      <c r="F105" s="17" t="s">
        <v>252</v>
      </c>
      <c r="G105" s="8">
        <v>367632.95</v>
      </c>
      <c r="H105" s="8">
        <v>945213.25</v>
      </c>
      <c r="I105" s="8">
        <v>1312846.2</v>
      </c>
      <c r="J105" s="19"/>
      <c r="L105"/>
    </row>
    <row r="106" spans="1:12" ht="17.25" customHeight="1" x14ac:dyDescent="0.25">
      <c r="A106" s="7" t="s">
        <v>116</v>
      </c>
      <c r="B106" s="7" t="s">
        <v>6</v>
      </c>
      <c r="C106" s="16" t="s">
        <v>132</v>
      </c>
      <c r="D106" s="6" t="s">
        <v>31</v>
      </c>
      <c r="E106" s="17" t="s">
        <v>31</v>
      </c>
      <c r="F106" s="17" t="s">
        <v>30</v>
      </c>
      <c r="G106" s="8">
        <v>514741.01</v>
      </c>
      <c r="H106" s="8">
        <v>460819.1</v>
      </c>
      <c r="I106" s="8">
        <v>975560.11</v>
      </c>
      <c r="L106"/>
    </row>
    <row r="107" spans="1:12" s="15" customFormat="1" ht="17.25" customHeight="1" x14ac:dyDescent="0.25">
      <c r="A107" s="13" t="s">
        <v>144</v>
      </c>
      <c r="B107" s="13"/>
      <c r="C107" s="13"/>
      <c r="D107" s="13"/>
      <c r="E107" s="13"/>
      <c r="F107" s="13"/>
      <c r="G107" s="14">
        <f>SUBTOTAL(109,ProjectDetails[Budget Year 1 (Approved)])</f>
        <v>80114364.829999983</v>
      </c>
      <c r="H107" s="14">
        <f>SUBTOTAL(109,ProjectDetails[Budget Year 2 (Expected)])</f>
        <v>76065075.549999982</v>
      </c>
      <c r="I107" s="14">
        <f>SUBTOTAL(109,ProjectDetails[Total Budget (Expected)])</f>
        <v>156179440.35000008</v>
      </c>
    </row>
    <row r="109" spans="1:12" ht="17.25" customHeight="1" x14ac:dyDescent="0.25">
      <c r="A109" s="11" t="s">
        <v>0</v>
      </c>
    </row>
    <row r="131" spans="1:3" ht="17.25" customHeight="1" x14ac:dyDescent="0.25">
      <c r="A131" s="1"/>
      <c r="B131" s="1"/>
      <c r="C131" s="1"/>
    </row>
    <row r="132" spans="1:3" ht="17.25" customHeight="1" x14ac:dyDescent="0.25">
      <c r="A132" s="1"/>
      <c r="B132" s="1"/>
      <c r="C132" s="1"/>
    </row>
    <row r="133" spans="1:3" ht="17.25" customHeight="1" x14ac:dyDescent="0.25">
      <c r="A133" s="1"/>
      <c r="B133" s="1"/>
      <c r="C133" s="1"/>
    </row>
    <row r="134" spans="1:3" ht="17.25" customHeight="1" x14ac:dyDescent="0.25">
      <c r="A134" s="1"/>
      <c r="B134" s="1"/>
      <c r="C134" s="1"/>
    </row>
    <row r="135" spans="1:3" ht="17.25" customHeight="1" x14ac:dyDescent="0.25">
      <c r="A135" s="1"/>
      <c r="B135" s="1"/>
      <c r="C135" s="1"/>
    </row>
    <row r="136" spans="1:3" ht="17.25" customHeight="1" x14ac:dyDescent="0.25">
      <c r="A136" s="1"/>
      <c r="B136" s="1"/>
      <c r="C136" s="1"/>
    </row>
    <row r="137" spans="1:3" ht="17.25" customHeight="1" x14ac:dyDescent="0.25">
      <c r="A137" s="1"/>
      <c r="B137" s="1"/>
      <c r="C137" s="1"/>
    </row>
    <row r="138" spans="1:3" ht="17.25" customHeight="1" x14ac:dyDescent="0.25">
      <c r="A138" s="1"/>
      <c r="B138" s="1"/>
      <c r="C138" s="1"/>
    </row>
    <row r="139" spans="1:3" ht="17.25" customHeight="1" x14ac:dyDescent="0.25">
      <c r="A139" s="1"/>
      <c r="B139" s="1"/>
      <c r="C139" s="1"/>
    </row>
    <row r="140" spans="1:3" ht="17.25" customHeight="1" x14ac:dyDescent="0.25">
      <c r="A140" s="1"/>
      <c r="B140" s="1"/>
      <c r="C140" s="1"/>
    </row>
    <row r="141" spans="1:3" ht="17.25" customHeight="1" x14ac:dyDescent="0.25">
      <c r="A141" s="1"/>
      <c r="B141" s="1"/>
      <c r="C141" s="1"/>
    </row>
    <row r="142" spans="1:3" ht="17.25" customHeight="1" x14ac:dyDescent="0.25">
      <c r="A142" s="1"/>
      <c r="B142" s="1"/>
      <c r="C142" s="1"/>
    </row>
    <row r="143" spans="1:3" ht="17.25" customHeight="1" x14ac:dyDescent="0.25">
      <c r="A143" s="1"/>
      <c r="B143" s="1"/>
      <c r="C143" s="1"/>
    </row>
    <row r="144" spans="1:3" ht="17.25" customHeight="1" x14ac:dyDescent="0.25">
      <c r="A144" s="1"/>
      <c r="B144" s="1"/>
      <c r="C144" s="1"/>
    </row>
    <row r="145" spans="1:3" ht="17.25" customHeight="1" x14ac:dyDescent="0.25">
      <c r="A145" s="1"/>
      <c r="B145" s="1"/>
      <c r="C145" s="1"/>
    </row>
    <row r="146" spans="1:3" ht="17.25" customHeight="1" x14ac:dyDescent="0.25">
      <c r="A146" s="1"/>
      <c r="B146" s="1"/>
      <c r="C146" s="1"/>
    </row>
    <row r="147" spans="1:3" ht="17.25" customHeight="1" x14ac:dyDescent="0.25">
      <c r="A147" s="1"/>
      <c r="B147" s="1"/>
      <c r="C147" s="1"/>
    </row>
    <row r="148" spans="1:3" ht="17.25" customHeight="1" x14ac:dyDescent="0.25">
      <c r="A148" s="1"/>
      <c r="B148" s="1"/>
      <c r="C148" s="1"/>
    </row>
    <row r="149" spans="1:3" ht="17.25" customHeight="1" x14ac:dyDescent="0.25">
      <c r="A149" s="1"/>
      <c r="B149" s="1"/>
      <c r="C149" s="1"/>
    </row>
    <row r="150" spans="1:3" ht="17.25" customHeight="1" x14ac:dyDescent="0.25">
      <c r="A150" s="1"/>
      <c r="B150" s="1"/>
      <c r="C150" s="1"/>
    </row>
    <row r="151" spans="1:3" ht="17.25" customHeight="1" x14ac:dyDescent="0.25">
      <c r="A151" s="1"/>
      <c r="B151" s="1"/>
      <c r="C151" s="1"/>
    </row>
    <row r="152" spans="1:3" ht="17.25" customHeight="1" x14ac:dyDescent="0.25">
      <c r="A152" s="1"/>
      <c r="B152" s="1"/>
      <c r="C152" s="1"/>
    </row>
    <row r="153" spans="1:3" ht="17.25" customHeight="1" x14ac:dyDescent="0.25">
      <c r="A153" s="1"/>
      <c r="B153" s="1"/>
      <c r="C153" s="1"/>
    </row>
    <row r="154" spans="1:3" ht="17.25" customHeight="1" x14ac:dyDescent="0.25">
      <c r="A154" s="1"/>
      <c r="B154" s="1"/>
      <c r="C154" s="1"/>
    </row>
    <row r="155" spans="1:3" ht="17.25" customHeight="1" x14ac:dyDescent="0.25">
      <c r="A155" s="1"/>
      <c r="B155" s="1"/>
      <c r="C155" s="1"/>
    </row>
    <row r="156" spans="1:3" ht="17.25" customHeight="1" x14ac:dyDescent="0.25">
      <c r="A156" s="1"/>
      <c r="B156" s="1"/>
      <c r="C156" s="1"/>
    </row>
    <row r="157" spans="1:3" ht="17.25" customHeight="1" x14ac:dyDescent="0.25">
      <c r="A157" s="1"/>
      <c r="B157" s="1"/>
      <c r="C157" s="1"/>
    </row>
    <row r="158" spans="1:3" ht="17.25" customHeight="1" x14ac:dyDescent="0.25">
      <c r="A158" s="1"/>
      <c r="B158" s="1"/>
      <c r="C158" s="1"/>
    </row>
    <row r="159" spans="1:3" ht="17.25" customHeight="1" x14ac:dyDescent="0.25">
      <c r="A159" s="1"/>
      <c r="B159" s="1"/>
      <c r="C159" s="1"/>
    </row>
    <row r="160" spans="1:3" ht="17.25" customHeight="1" x14ac:dyDescent="0.25">
      <c r="A160" s="1"/>
      <c r="B160" s="1"/>
      <c r="C160" s="1"/>
    </row>
    <row r="161" spans="1:3" ht="17.25" customHeight="1" x14ac:dyDescent="0.25">
      <c r="A161" s="1"/>
      <c r="B161" s="1"/>
      <c r="C161" s="1"/>
    </row>
    <row r="162" spans="1:3" ht="17.25" customHeight="1" x14ac:dyDescent="0.25">
      <c r="A162" s="1"/>
      <c r="B162" s="1"/>
      <c r="C162" s="1"/>
    </row>
    <row r="163" spans="1:3" ht="17.25" customHeight="1" x14ac:dyDescent="0.25">
      <c r="A163" s="1"/>
      <c r="B163" s="1"/>
      <c r="C163" s="1"/>
    </row>
    <row r="164" spans="1:3" ht="17.25" customHeight="1" x14ac:dyDescent="0.25">
      <c r="A164" s="1"/>
      <c r="B164" s="1"/>
      <c r="C164" s="1"/>
    </row>
    <row r="165" spans="1:3" ht="17.25" customHeight="1" x14ac:dyDescent="0.25">
      <c r="A165" s="1"/>
      <c r="B165" s="1"/>
      <c r="C165" s="1"/>
    </row>
    <row r="166" spans="1:3" ht="17.25" customHeight="1" x14ac:dyDescent="0.25">
      <c r="A166" s="1"/>
      <c r="B166" s="1"/>
      <c r="C166" s="1"/>
    </row>
    <row r="167" spans="1:3" ht="17.25" customHeight="1" x14ac:dyDescent="0.25">
      <c r="A167" s="1"/>
      <c r="B167" s="1"/>
      <c r="C167" s="1"/>
    </row>
    <row r="168" spans="1:3" ht="17.25" customHeight="1" x14ac:dyDescent="0.25">
      <c r="A168" s="1"/>
      <c r="B168" s="1"/>
      <c r="C168" s="1"/>
    </row>
    <row r="169" spans="1:3" ht="17.25" customHeight="1" x14ac:dyDescent="0.25">
      <c r="A169" s="1"/>
      <c r="B169" s="1"/>
      <c r="C169" s="1"/>
    </row>
    <row r="170" spans="1:3" ht="17.25" customHeight="1" x14ac:dyDescent="0.25">
      <c r="A170" s="1"/>
      <c r="B170" s="1"/>
      <c r="C170" s="1"/>
    </row>
    <row r="171" spans="1:3" ht="17.25" customHeight="1" x14ac:dyDescent="0.25">
      <c r="A171" s="1"/>
      <c r="B171" s="1"/>
      <c r="C171" s="1"/>
    </row>
    <row r="172" spans="1:3" ht="17.25" customHeight="1" x14ac:dyDescent="0.25">
      <c r="A172" s="1"/>
      <c r="B172" s="1"/>
      <c r="C172" s="1"/>
    </row>
    <row r="173" spans="1:3" ht="17.25" customHeight="1" x14ac:dyDescent="0.25">
      <c r="A173" s="1"/>
      <c r="B173" s="1"/>
      <c r="C173" s="1"/>
    </row>
    <row r="174" spans="1:3" ht="17.25" customHeight="1" x14ac:dyDescent="0.25">
      <c r="A174" s="1"/>
      <c r="B174" s="1"/>
      <c r="C174" s="1"/>
    </row>
    <row r="175" spans="1:3" ht="17.25" customHeight="1" x14ac:dyDescent="0.25">
      <c r="A175" s="1"/>
      <c r="B175" s="1"/>
      <c r="C175" s="1"/>
    </row>
    <row r="176" spans="1:3" ht="17.25" customHeight="1" x14ac:dyDescent="0.25">
      <c r="A176" s="1"/>
      <c r="B176" s="1"/>
      <c r="C176" s="1"/>
    </row>
    <row r="177" spans="1:3" ht="17.25" customHeight="1" x14ac:dyDescent="0.25">
      <c r="A177" s="1"/>
      <c r="B177" s="1"/>
      <c r="C177" s="1"/>
    </row>
    <row r="178" spans="1:3" ht="17.25" customHeight="1" x14ac:dyDescent="0.25">
      <c r="A178" s="1"/>
      <c r="B178" s="1"/>
      <c r="C178" s="1"/>
    </row>
    <row r="179" spans="1:3" ht="17.25" customHeight="1" x14ac:dyDescent="0.25">
      <c r="A179" s="1"/>
      <c r="B179" s="1"/>
      <c r="C179" s="1"/>
    </row>
    <row r="180" spans="1:3" ht="17.25" customHeight="1" x14ac:dyDescent="0.25">
      <c r="A180" s="1"/>
      <c r="B180" s="1"/>
      <c r="C180" s="1"/>
    </row>
    <row r="181" spans="1:3" ht="17.25" customHeight="1" x14ac:dyDescent="0.25">
      <c r="A181" s="1"/>
      <c r="B181" s="1"/>
      <c r="C181" s="1"/>
    </row>
    <row r="182" spans="1:3" ht="17.25" customHeight="1" x14ac:dyDescent="0.25">
      <c r="A182" s="1"/>
      <c r="B182" s="1"/>
      <c r="C182" s="1"/>
    </row>
    <row r="183" spans="1:3" ht="17.25" customHeight="1" x14ac:dyDescent="0.25">
      <c r="A183" s="1"/>
      <c r="B183" s="1"/>
      <c r="C183" s="1"/>
    </row>
    <row r="184" spans="1:3" ht="17.25" customHeight="1" x14ac:dyDescent="0.25">
      <c r="A184" s="1"/>
      <c r="B184" s="1"/>
      <c r="C184" s="1"/>
    </row>
    <row r="185" spans="1:3" ht="17.25" customHeight="1" x14ac:dyDescent="0.25">
      <c r="A185" s="1"/>
      <c r="B185" s="1"/>
      <c r="C185" s="1"/>
    </row>
    <row r="186" spans="1:3" ht="17.25" customHeight="1" x14ac:dyDescent="0.25">
      <c r="A186" s="1"/>
      <c r="B186" s="1"/>
      <c r="C186" s="1"/>
    </row>
    <row r="187" spans="1:3" ht="17.25" customHeight="1" x14ac:dyDescent="0.25">
      <c r="A187" s="1"/>
      <c r="B187" s="1"/>
      <c r="C187" s="1"/>
    </row>
    <row r="188" spans="1:3" ht="17.25" customHeight="1" x14ac:dyDescent="0.25">
      <c r="A188" s="1"/>
      <c r="B188" s="1"/>
      <c r="C188" s="1"/>
    </row>
    <row r="189" spans="1:3" ht="17.25" customHeight="1" x14ac:dyDescent="0.25">
      <c r="A189" s="1"/>
      <c r="B189" s="1"/>
      <c r="C189" s="1"/>
    </row>
    <row r="190" spans="1:3" ht="17.25" customHeight="1" x14ac:dyDescent="0.25">
      <c r="A190" s="1"/>
      <c r="B190" s="1"/>
      <c r="C190" s="1"/>
    </row>
    <row r="191" spans="1:3" ht="17.25" customHeight="1" x14ac:dyDescent="0.25">
      <c r="A191" s="1"/>
      <c r="B191" s="1"/>
      <c r="C191" s="1"/>
    </row>
    <row r="192" spans="1:3" ht="17.25" customHeight="1" x14ac:dyDescent="0.25">
      <c r="A192" s="1"/>
      <c r="B192" s="1"/>
      <c r="C192" s="1"/>
    </row>
    <row r="193" spans="1:3" ht="17.25" customHeight="1" x14ac:dyDescent="0.25">
      <c r="A193" s="1"/>
      <c r="B193" s="1"/>
      <c r="C193" s="1"/>
    </row>
    <row r="194" spans="1:3" ht="17.25" customHeight="1" x14ac:dyDescent="0.25">
      <c r="A194" s="1"/>
      <c r="B194" s="1"/>
      <c r="C194" s="1"/>
    </row>
    <row r="195" spans="1:3" ht="17.25" customHeight="1" x14ac:dyDescent="0.25">
      <c r="A195" s="1"/>
      <c r="B195" s="1"/>
      <c r="C195" s="1"/>
    </row>
  </sheetData>
  <sortState xmlns:xlrd2="http://schemas.microsoft.com/office/spreadsheetml/2017/richdata2" ref="B111:B130">
    <sortCondition ref="B111:B130"/>
  </sortState>
  <phoneticPr fontId="7"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1C0826D198C2489EF503F3DC149B29" ma:contentTypeVersion="22" ma:contentTypeDescription="Create a new document." ma:contentTypeScope="" ma:versionID="e9ee8c93a0b90136fd65582075cef23f">
  <xsd:schema xmlns:xsd="http://www.w3.org/2001/XMLSchema" xmlns:xs="http://www.w3.org/2001/XMLSchema" xmlns:p="http://schemas.microsoft.com/office/2006/metadata/properties" xmlns:ns1="http://schemas.microsoft.com/sharepoint/v3" xmlns:ns2="59da1016-2a1b-4f8a-9768-d7a4932f6f16" xmlns:ns3="b6ec93a0-b597-4d0d-8db6-04afa265eb62" targetNamespace="http://schemas.microsoft.com/office/2006/metadata/properties" ma:root="true" ma:fieldsID="c0667ada42b68f0b280197c6acedd0b2" ns1:_="" ns2:_="" ns3:_="">
    <xsd:import namespace="http://schemas.microsoft.com/sharepoint/v3"/>
    <xsd:import namespace="59da1016-2a1b-4f8a-9768-d7a4932f6f16"/>
    <xsd:import namespace="b6ec93a0-b597-4d0d-8db6-04afa265eb62"/>
    <xsd:element name="properties">
      <xsd:complexType>
        <xsd:sequence>
          <xsd:element name="documentManagement">
            <xsd:complexType>
              <xsd:all>
                <xsd:element ref="ns2:IACategory" minOccurs="0"/>
                <xsd:element ref="ns2:IATopic" minOccurs="0"/>
                <xsd:element ref="ns2:IASubtopic" minOccurs="0"/>
                <xsd:element ref="ns3:Meta_x0020_Description" minOccurs="0"/>
                <xsd:element ref="ns3:Meta_x0020_Keywords" minOccurs="0"/>
                <xsd:element ref="ns1:PublishingStartDate" minOccurs="0"/>
                <xsd:element ref="ns1:PublishingExpirationDate" minOccurs="0"/>
                <xsd:element ref="ns1:URL" minOccurs="0"/>
                <xsd:element ref="ns2:DocumentExpirationDate" minOccurs="0"/>
                <xsd:element ref="ns3:Order0"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9"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element name="URL" ma:index="11" nillable="true" ma:displayName="URL" ma:format="Hyperlink" ma:internalName="URL"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9da1016-2a1b-4f8a-9768-d7a4932f6f16" elementFormDefault="qualified">
    <xsd:import namespace="http://schemas.microsoft.com/office/2006/documentManagement/types"/>
    <xsd:import namespace="http://schemas.microsoft.com/office/infopath/2007/PartnerControls"/>
    <xsd:element name="IACategory" ma:index="4" nillable="true" ma:displayName="IA Category" ma:format="Dropdown" ma:internalName="IACategory" ma:readOnly="false">
      <xsd:simpleType>
        <xsd:restriction base="dms:Choice">
          <xsd:enumeration value="About OHA"/>
          <xsd:enumeration value="Programs and Services"/>
          <xsd:enumeration value="Oregon Health Plan"/>
          <xsd:enumeration value="Health System Reform"/>
          <xsd:enumeration value="Licenses and Certificates"/>
          <xsd:enumeration value="Public Health"/>
        </xsd:restriction>
      </xsd:simpleType>
    </xsd:element>
    <xsd:element name="IATopic" ma:index="5" nillable="true" ma:displayName="IA Topic" ma:format="Dropdown" ma:internalName="IATopic" ma:readOnly="false">
      <xsd:simpleType>
        <xsd:restriction base="dms:Choice">
          <xsd:enumeration value="About OHA - Agency Communications"/>
          <xsd:enumeration value="About OHA - Budget"/>
          <xsd:enumeration value="About OHA - Contacts"/>
          <xsd:enumeration value="About OHA - Grants &amp; Contracts"/>
          <xsd:enumeration value="About OHA - Jobs &amp; Employment"/>
          <xsd:enumeration value="About OHA - Organization"/>
          <xsd:enumeration value="About OHA - Policies"/>
          <xsd:enumeration value="About OHA - Public Meetings"/>
          <xsd:enumeration value="About OHA - Public Records"/>
          <xsd:enumeration value="About OHA - Questions &amp; Comments"/>
          <xsd:enumeration value="About OHA - Reports &amp; Data"/>
          <xsd:enumeration value="About OHA - Rulemaking"/>
          <xsd:enumeration value="Programs and Services - Behavioral Health"/>
          <xsd:enumeration value="Programs and Services - Contacts"/>
          <xsd:enumeration value="Programs and Services - Coordinated Care"/>
          <xsd:enumeration value="Programs and Services - Disease"/>
          <xsd:enumeration value="Programs and Services - Environment"/>
          <xsd:enumeration value="Programs and Services - Health Resources"/>
          <xsd:enumeration value="Programs and Services - OEBB"/>
          <xsd:enumeration value="Programs and Services - Oregon Health Plan"/>
          <xsd:enumeration value="Programs and Services - Oregon State Hospital"/>
          <xsd:enumeration value="Programs and Services - PEBB"/>
          <xsd:enumeration value="Programs and Services - Pharmacy"/>
          <xsd:enumeration value="Programs and Services - Prevention"/>
          <xsd:enumeration value="Programs and Services - Safety"/>
          <xsd:enumeration value="Oregon Health Plan - Agency Communications"/>
          <xsd:enumeration value="Oregon Health Plan - Benefits"/>
          <xsd:enumeration value="Oregon Health Plan - Contacts"/>
          <xsd:enumeration value="Oregon Health Plan - Coordinated Care"/>
          <xsd:enumeration value="Oregon Health Plan - Grants &amp; Contracts"/>
          <xsd:enumeration value="Oregon Health Plan - Health Resources"/>
          <xsd:enumeration value="Oregon Health Plan - Policies"/>
          <xsd:enumeration value="Oregon Health Plan - Providers and Partners"/>
          <xsd:enumeration value="Oregon Health Plan - Public Meetings"/>
          <xsd:enumeration value="Oregon Health Plan - Questions &amp; Comments"/>
          <xsd:enumeration value="Oregon Health Plan - Rule Making"/>
          <xsd:enumeration value="Health System Reform - Agency Communications"/>
          <xsd:enumeration value="Health System Reform - Coordinated Care"/>
          <xsd:enumeration value="Health System Reform - Public Meetings"/>
          <xsd:enumeration value="Health System Reform - Questions &amp; Comments"/>
          <xsd:enumeration value="Health System Reform - Reports &amp; Data"/>
          <xsd:enumeration value="Licenses and Certificates - Certificates"/>
          <xsd:enumeration value="Licenses and Certificates - Contacts"/>
          <xsd:enumeration value="Licenses and Certificates - Licenses"/>
          <xsd:enumeration value="Licenses and Certificates - Vital Records"/>
          <xsd:enumeration value="Public Health - Agency Communications"/>
          <xsd:enumeration value="Public Health - Contacts"/>
          <xsd:enumeration value="Public Health - Disease"/>
          <xsd:enumeration value="Public Health - Environment"/>
          <xsd:enumeration value="Public Health - Health Resources"/>
          <xsd:enumeration value="Public Health - Questions &amp; Comments"/>
          <xsd:enumeration value="Public Health - Prevention"/>
          <xsd:enumeration value="Public Health - Providers and Partners"/>
          <xsd:enumeration value="Public Health - Reports &amp; Data"/>
          <xsd:enumeration value="Public Health - Safety"/>
          <xsd:enumeration value="Public Health - Vital Records"/>
        </xsd:restriction>
      </xsd:simpleType>
    </xsd:element>
    <xsd:element name="IASubtopic" ma:index="6" nillable="true" ma:displayName="IA Subtopic" ma:format="Dropdown" ma:internalName="IASubtopic" ma:readOnly="false">
      <xsd:simpleType>
        <xsd:restriction base="dms:Choice">
          <xsd:enumeration value="Addiction Services - Alcohol"/>
          <xsd:enumeration value="Addiction Services - Drug"/>
          <xsd:enumeration value="Addiction Services - Gambling"/>
          <xsd:enumeration value="Addiction Services - Tobacco"/>
          <xsd:enumeration value="Applications"/>
          <xsd:enumeration value="Benefits - Health Plans"/>
          <xsd:enumeration value="Benefits - OEBB"/>
          <xsd:enumeration value="Benefits - OHP"/>
          <xsd:enumeration value="Benefits - PEBB"/>
          <xsd:enumeration value="Benefits - Retirement"/>
          <xsd:enumeration value="Budget - Agency Summary"/>
          <xsd:enumeration value="Budget - Agency Request (ARB)"/>
          <xsd:enumeration value="Budget - Governors Budget"/>
          <xsd:enumeration value="Budget - Infrastructure"/>
          <xsd:enumeration value="Budget - Legislatively Adopted (LAB)"/>
          <xsd:enumeration value="Budget - Legislative action"/>
          <xsd:enumeration value="Budget - Overview"/>
          <xsd:enumeration value="Budget - Policy Option Package (POP)"/>
          <xsd:enumeration value="Budget - Priorities"/>
          <xsd:enumeration value="Budget - Program"/>
          <xsd:enumeration value="Budget - Reduction"/>
          <xsd:enumeration value="Budget - Strategic funding proposal"/>
          <xsd:enumeration value="Budget - Special report"/>
          <xsd:enumeration value="Budget - Stakeholder meeting"/>
          <xsd:enumeration value="CCO - Contact"/>
          <xsd:enumeration value="CCO - Audited Financial Statement"/>
          <xsd:enumeration value="CCO - Interim Financial Statement"/>
          <xsd:enumeration value="CCO - Internal Financial Statement"/>
          <xsd:enumeration value="Clean Air"/>
          <xsd:enumeration value="Clean Water"/>
          <xsd:enumeration value="Clinics"/>
          <xsd:enumeration value="Commissions"/>
          <xsd:enumeration value="Committee Members"/>
          <xsd:enumeration value="Committees"/>
          <xsd:enumeration value="Crisis Services"/>
          <xsd:enumeration value="Drug Addiction Services"/>
          <xsd:enumeration value="Electronic Health Care Records (EHR)"/>
          <xsd:enumeration value="Emergency Preparedness"/>
          <xsd:enumeration value="Environmental Pollution"/>
          <xsd:enumeration value="Featured Content"/>
          <xsd:enumeration value="Fees"/>
          <xsd:enumeration value="Health Services - Primary Care Home"/>
          <xsd:enumeration value="Health Services - Prioritized list"/>
          <xsd:enumeration value="ICD-10"/>
          <xsd:enumeration value="Immunizations"/>
          <xsd:enumeration value="Legislation - Bills"/>
          <xsd:enumeration value="Legislation - Contact"/>
          <xsd:enumeration value="Legislation - Highlights"/>
          <xsd:enumeration value="Legislation - Session Summary"/>
          <xsd:enumeration value="Materials - Commission"/>
          <xsd:enumeration value="Materials - Committee"/>
          <xsd:enumeration value="Materials - Coverage Guidance"/>
          <xsd:enumeration value="Materials - Evidence-based Guidelines"/>
          <xsd:enumeration value="Materials - Health care plan details"/>
          <xsd:enumeration value="Materials - Health care plan overview"/>
          <xsd:enumeration value="Materials - Meeting Document"/>
          <xsd:enumeration value="Materials - Meeting Recording"/>
          <xsd:enumeration value="Materials - Meeting Schedule"/>
          <xsd:enumeration value="Materials - Open Enrollment"/>
          <xsd:enumeration value="Materials - Training"/>
          <xsd:enumeration value="Materials - Webinar"/>
          <xsd:enumeration value="Materials - Workgroup"/>
          <xsd:enumeration value="Medical Marijuana (OMMP)"/>
          <xsd:enumeration value="Medical Services"/>
          <xsd:enumeration value="Meeting Document"/>
          <xsd:enumeration value="Meeting Schedule"/>
          <xsd:enumeration value="Mental Health Services"/>
          <xsd:enumeration value="Metrics - Behavioral Health"/>
          <xsd:enumeration value="Metrics - CCO"/>
          <xsd:enumeration value="Metrics - Demographics"/>
          <xsd:enumeration value="Metrics - Hospital Performance"/>
          <xsd:enumeration value="Metrics - Incentive"/>
          <xsd:enumeration value="Metrics - Measures and Outcomes Tracking (MOTS)"/>
          <xsd:enumeration value="Metrics - ONE Eligibility system"/>
          <xsd:enumeration value="Metrics - Prevention"/>
          <xsd:enumeration value="Metrics - Rural health"/>
          <xsd:enumeration value="Metrics - State-Wide"/>
          <xsd:enumeration value="News Letter"/>
          <xsd:enumeration value="News Release"/>
          <xsd:enumeration value="OHP - Medicaid Waiver"/>
          <xsd:enumeration value="OHP - Provider Announcement"/>
          <xsd:enumeration value="OHP - Provider Rates"/>
          <xsd:enumeration value="Preferred Drug List"/>
          <xsd:enumeration value="Prescription Drugs - Monitoring"/>
          <xsd:enumeration value="Prescription Drugs - Preferred List"/>
          <xsd:enumeration value="Prescription Drugs - Subsidy"/>
          <xsd:enumeration value="Prescription Drugs Subsidy"/>
          <xsd:enumeration value="Technical Assistance"/>
          <xsd:enumeration value="Training"/>
          <xsd:enumeration value="Vital Statistics - Birth Certificate"/>
          <xsd:enumeration value="Vital Statistics - Certificate Death"/>
          <xsd:enumeration value="Vital Statistics - Data Use Requests"/>
          <xsd:enumeration value="Vital Statistics - Divorce Data"/>
          <xsd:enumeration value="Vital Statistics - Domestic Partnership Data"/>
          <xsd:enumeration value="Vital Statistics - Fetal Death Data"/>
          <xsd:enumeration value="Vital Statistics - Marriage Data"/>
          <xsd:enumeration value="Vital Statistics - Teen Pregnancy Data"/>
          <xsd:enumeration value="Wellness - Exercise"/>
          <xsd:enumeration value="Wellness - HEM"/>
          <xsd:enumeration value="Wellness - Intervention"/>
          <xsd:enumeration value="Wellness - Pain Management"/>
          <xsd:enumeration value="Wellness - Reproductive Health"/>
          <xsd:enumeration value="Wellness - Stress Relief"/>
        </xsd:restriction>
      </xsd:simpleType>
    </xsd:element>
    <xsd:element name="DocumentExpirationDate" ma:index="12" nillable="true" ma:displayName="Document Expiration Date" ma:format="DateOnly" ma:internalName="DocumentExpirationDate" ma:readOnly="false">
      <xsd:simpleType>
        <xsd:restriction base="dms:DateTime"/>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ec93a0-b597-4d0d-8db6-04afa265eb62" elementFormDefault="qualified">
    <xsd:import namespace="http://schemas.microsoft.com/office/2006/documentManagement/types"/>
    <xsd:import namespace="http://schemas.microsoft.com/office/infopath/2007/PartnerControls"/>
    <xsd:element name="Meta_x0020_Description" ma:index="7" nillable="true" ma:displayName="Meta Description" ma:internalName="Meta_x0020_Description" ma:readOnly="false">
      <xsd:simpleType>
        <xsd:restriction base="dms:Text"/>
      </xsd:simpleType>
    </xsd:element>
    <xsd:element name="Meta_x0020_Keywords" ma:index="8" nillable="true" ma:displayName="Meta Keywords" ma:internalName="Meta_x0020_Keywords" ma:readOnly="false">
      <xsd:simpleType>
        <xsd:restriction base="dms:Text"/>
      </xsd:simpleType>
    </xsd:element>
    <xsd:element name="Order0" ma:index="13" nillable="true" ma:displayName="Order" ma:internalName="Order0" ma:readOnly="false"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ACategory xmlns="59da1016-2a1b-4f8a-9768-d7a4932f6f16" xsi:nil="true"/>
    <Meta_x0020_Description xmlns="b6ec93a0-b597-4d0d-8db6-04afa265eb62" xsi:nil="true"/>
    <DocumentExpirationDate xmlns="59da1016-2a1b-4f8a-9768-d7a4932f6f16" xsi:nil="true"/>
    <Order0 xmlns="b6ec93a0-b597-4d0d-8db6-04afa265eb62" xsi:nil="true"/>
    <IATopic xmlns="59da1016-2a1b-4f8a-9768-d7a4932f6f16" xsi:nil="true"/>
    <IASubtopic xmlns="59da1016-2a1b-4f8a-9768-d7a4932f6f16" xsi:nil="true"/>
    <URL xmlns="http://schemas.microsoft.com/sharepoint/v3">
      <Url xsi:nil="true"/>
      <Description xsi:nil="true"/>
    </URL>
    <Meta_x0020_Keywords xmlns="b6ec93a0-b597-4d0d-8db6-04afa265eb62" xsi:nil="true"/>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2F6D79-422E-446F-8295-F6322E5D5A95}"/>
</file>

<file path=customXml/itemProps2.xml><?xml version="1.0" encoding="utf-8"?>
<ds:datastoreItem xmlns:ds="http://schemas.openxmlformats.org/officeDocument/2006/customXml" ds:itemID="{C2B14864-528E-4907-8CF9-3B1CBC77D74B}">
  <ds:schemaRefs>
    <ds:schemaRef ds:uri="http://purl.org/dc/terms/"/>
    <ds:schemaRef ds:uri="http://schemas.microsoft.com/office/2006/metadata/properties"/>
    <ds:schemaRef ds:uri="http://schemas.openxmlformats.org/package/2006/metadata/core-properties"/>
    <ds:schemaRef ds:uri="http://purl.org/dc/elements/1.1/"/>
    <ds:schemaRef ds:uri="http://www.w3.org/XML/1998/namespace"/>
    <ds:schemaRef ds:uri="854d2612-4d1e-47fd-b97e-2cb946244e21"/>
    <ds:schemaRef ds:uri="http://schemas.microsoft.com/office/2006/documentManagement/types"/>
    <ds:schemaRef ds:uri="http://schemas.microsoft.com/office/infopath/2007/PartnerControls"/>
    <ds:schemaRef ds:uri="b91b9380-541f-485f-9419-7abe45458fe0"/>
    <ds:schemaRef ds:uri="http://purl.org/dc/dcmitype/"/>
  </ds:schemaRefs>
</ds:datastoreItem>
</file>

<file path=customXml/itemProps3.xml><?xml version="1.0" encoding="utf-8"?>
<ds:datastoreItem xmlns:ds="http://schemas.openxmlformats.org/officeDocument/2006/customXml" ds:itemID="{4768FA32-1871-4DBA-8D1E-4119A7F26D88}">
  <ds:schemaRefs>
    <ds:schemaRef ds:uri="http://schemas.microsoft.com/sharepoint/v3/contenttype/forms"/>
  </ds:schemaRefs>
</ds:datastoreItem>
</file>

<file path=docMetadata/LabelInfo.xml><?xml version="1.0" encoding="utf-8"?>
<clbl:labelList xmlns:clbl="http://schemas.microsoft.com/office/2020/mipLabelMetadata">
  <clbl:label id="{ebdd6eeb-0dd0-4927-947e-a759f08fcf55}" enabled="1" method="Privileged" siteId="{658e63e8-8d39-499c-8f48-13adc9452f4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SummaryStatistics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RHTP Oregon Catalyst Awards Data</dc:title>
  <dc:creator>Milena Malone (she/her)</dc:creator>
  <cp:lastModifiedBy>Milena Malone (she/her)</cp:lastModifiedBy>
  <dcterms:created xsi:type="dcterms:W3CDTF">2026-06-29T20:13:12Z</dcterms:created>
  <dcterms:modified xsi:type="dcterms:W3CDTF">2026-07-06T19:29:20Z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0x010100B11C0826D198C2489EF503F3DC149B29</vt:lpwstr>
  </property>
  <property fmtid="{D5CDD505-2E9C-101B-9397-08002B2CF9AE}" pid="3" name="MediaServiceImageTags">
    <vt:lpwstr/>
  </property>
</Properties>
</file>