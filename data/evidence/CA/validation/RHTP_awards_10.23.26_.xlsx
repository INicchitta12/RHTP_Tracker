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lhospital-my.sharepoint.com/personal/jziombra_calhospital_org/Documents/Desktop/"/>
    </mc:Choice>
  </mc:AlternateContent>
  <xr:revisionPtr revIDLastSave="1" documentId="8_{6F7DC1F7-6006-494E-AD28-0BD19EE2DB7D}" xr6:coauthVersionLast="47" xr6:coauthVersionMax="47" xr10:uidLastSave="{08391D17-A513-4096-9FE1-09796227566C}"/>
  <bookViews>
    <workbookView xWindow="-110" yWindow="-110" windowWidth="19420" windowHeight="11500" xr2:uid="{D0221D18-7BA1-4C70-9438-9136811A102D}"/>
  </bookViews>
  <sheets>
    <sheet name="Sheet1" sheetId="1" r:id="rId1"/>
  </sheets>
  <definedNames>
    <definedName name="_xlnm._FilterDatabase" localSheetId="0" hidden="1">Sheet1!$B$10:$K$118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4" i="1" l="1"/>
  <c r="K3" i="1"/>
  <c r="J9" i="1"/>
  <c r="J6" i="1"/>
  <c r="K6" i="1" s="1"/>
  <c r="J5" i="1"/>
  <c r="K5" i="1" s="1"/>
</calcChain>
</file>

<file path=xl/sharedStrings.xml><?xml version="1.0" encoding="utf-8"?>
<sst xmlns="http://schemas.openxmlformats.org/spreadsheetml/2006/main" count="553" uniqueCount="211">
  <si>
    <t>Central Valley Farmworker Foundation</t>
  </si>
  <si>
    <t>Kern, Tulare, Fresno</t>
  </si>
  <si>
    <t>Community Health Partners</t>
  </si>
  <si>
    <t>Fresno, Merced</t>
  </si>
  <si>
    <t>Feather River Tribal Health, Inc.</t>
  </si>
  <si>
    <t>Butte, Yuba, Sutter</t>
  </si>
  <si>
    <t>Inland Empire Health Plan</t>
  </si>
  <si>
    <t>San Bernardino, Riverside</t>
  </si>
  <si>
    <t>Lompoc Valley Medical Center</t>
  </si>
  <si>
    <t>Santa Barbara</t>
  </si>
  <si>
    <t>Marshall Medical Center</t>
  </si>
  <si>
    <t>El Dorado, Amador</t>
  </si>
  <si>
    <t>Mee Memorial Healthcare System</t>
  </si>
  <si>
    <t>Monterey</t>
  </si>
  <si>
    <t>Mercy Medical Center – Northern California Maternity Collaborative</t>
  </si>
  <si>
    <t>Shasta, Siskiyou, Tehama, Lassen, Modoc</t>
  </si>
  <si>
    <t>Northern Inyo Healthcare District</t>
  </si>
  <si>
    <t>Inyo, Mono</t>
  </si>
  <si>
    <t>Oak Valley District Hospital</t>
  </si>
  <si>
    <t>Stanislaus, San Joaquin</t>
  </si>
  <si>
    <t>Pacific Central Coast Health Centers</t>
  </si>
  <si>
    <t>Santa Barbara, Santa Maria Valley</t>
  </si>
  <si>
    <t>Plumas District Hospital</t>
  </si>
  <si>
    <t>Plumas</t>
  </si>
  <si>
    <t>Ridgecrest Regional Hospital</t>
  </si>
  <si>
    <t>Kern, Inyo, San Bernardino</t>
  </si>
  <si>
    <t>Salinas Valley Memorial Hospital</t>
  </si>
  <si>
    <t>Monterey, San Benito</t>
  </si>
  <si>
    <t>Sierra Nevada Memorial Hospital Foundation</t>
  </si>
  <si>
    <t>Nevada County</t>
  </si>
  <si>
    <t>Tahoe Forest Hospital District</t>
  </si>
  <si>
    <t>Placer, Nevada, El Dorado, Sierra, Plumas</t>
  </si>
  <si>
    <t>Tribal Rural Oral Health Consortium</t>
  </si>
  <si>
    <t>Lake, Siskiyou, Karuk Tribe, Lake County Tribal Health Consortium</t>
  </si>
  <si>
    <t>United Indian Health Services, Inc.</t>
  </si>
  <si>
    <t>Humboldt, Del Norte</t>
  </si>
  <si>
    <t>Southern California Rural Health Collaborative – University of California, San Diego</t>
  </si>
  <si>
    <t>Imperial, Riverside</t>
  </si>
  <si>
    <t>Kaweah Health</t>
  </si>
  <si>
    <t>Tulare, Kings</t>
  </si>
  <si>
    <t>San Bernardino County, Arrowhead Regional Medical Center</t>
  </si>
  <si>
    <t>San Bernardino</t>
  </si>
  <si>
    <t>UC San Diego Health</t>
  </si>
  <si>
    <t>San Diego, Imperial</t>
  </si>
  <si>
    <t>Maternal Child Health Fellowship: Fresno Family Medicine Obstetrics</t>
  </si>
  <si>
    <t>Fresno</t>
  </si>
  <si>
    <t>FM-OB Fellowship Program</t>
  </si>
  <si>
    <t>Adventist Health Howard Memorial</t>
  </si>
  <si>
    <t>Mendocino</t>
  </si>
  <si>
    <t>Adventist Health Sonora</t>
  </si>
  <si>
    <t>Tuolumne, Mariposa, Calaveras, Stanislaus, Alpine</t>
  </si>
  <si>
    <t>Adventist Health Tehachapi Valley</t>
  </si>
  <si>
    <t>Kern</t>
  </si>
  <si>
    <t>Adventist Health Ukiah Valley</t>
  </si>
  <si>
    <t>Fairchild Medical Center</t>
  </si>
  <si>
    <t>Siskiyou</t>
  </si>
  <si>
    <t>Mayers Memorial Hospital District</t>
  </si>
  <si>
    <t>Shasta, Lassen, Modoc</t>
  </si>
  <si>
    <t>Pioneers Memorial Hospital</t>
  </si>
  <si>
    <t>Imperial</t>
  </si>
  <si>
    <t>San Benito Healthcare District/Hazel Hawkins Memorial Hospital</t>
  </si>
  <si>
    <t>San Benito</t>
  </si>
  <si>
    <t>Sierra View Medical Center</t>
  </si>
  <si>
    <t>Tulare</t>
  </si>
  <si>
    <t>Transformative Payments</t>
  </si>
  <si>
    <t>Adventist Health System/West</t>
  </si>
  <si>
    <t>Calaveras, Fresno, Lake, Mendocino, Napa, Tehama, Tulare, Tuolumne</t>
  </si>
  <si>
    <t>Ampla Health</t>
  </si>
  <si>
    <t>Butte, Colusa, Glenn, Tehama</t>
  </si>
  <si>
    <t>Apex Medical Group</t>
  </si>
  <si>
    <t>Merced</t>
  </si>
  <si>
    <t>Aria Community Health Center</t>
  </si>
  <si>
    <t>Fresno, Kings, Tulare</t>
  </si>
  <si>
    <t>Banner Health Foundation</t>
  </si>
  <si>
    <t>Lassen</t>
  </si>
  <si>
    <t>Barton Memorial Hospital</t>
  </si>
  <si>
    <t>El Dorado</t>
  </si>
  <si>
    <t>Castle Family Health Centers, Inc.</t>
  </si>
  <si>
    <t>Catalina Island Health</t>
  </si>
  <si>
    <t>Los Angeles</t>
  </si>
  <si>
    <t>Clinica Sierra Vista</t>
  </si>
  <si>
    <t>Colorado River Medical Center</t>
  </si>
  <si>
    <t>CommuniCare+OLE</t>
  </si>
  <si>
    <t>Napa</t>
  </si>
  <si>
    <t>DAP Health, Inc.</t>
  </si>
  <si>
    <t>Riverside, San Diego</t>
  </si>
  <si>
    <t>Eastern Plumas Health Care</t>
  </si>
  <si>
    <t>Plumas, Sierra</t>
  </si>
  <si>
    <t>El Dorado County Community Health Center</t>
  </si>
  <si>
    <t>Family Health Centers, Inc.</t>
  </si>
  <si>
    <t>Fresno, Tulare</t>
  </si>
  <si>
    <t>Butte</t>
  </si>
  <si>
    <t>Fortuna Family Medicine</t>
  </si>
  <si>
    <t>Humboldt</t>
  </si>
  <si>
    <t>Good Samaritan Hospital, LP</t>
  </si>
  <si>
    <t>Health Alliance of Northern California</t>
  </si>
  <si>
    <t>Lassen, Nevada, Placer, Shasta, Sierra, Siskiyou, Yuba</t>
  </si>
  <si>
    <t>Healthy Rural California, Inc.</t>
  </si>
  <si>
    <t>Butte, Glenn, Lassen</t>
  </si>
  <si>
    <t>Imperial Clinica</t>
  </si>
  <si>
    <t>Jerod Phelps Community Hospital, Southern Humboldt Community Clinic</t>
  </si>
  <si>
    <t>Kno’Qoti Native Wellness, Inc.</t>
  </si>
  <si>
    <t>Glenn, Lake</t>
  </si>
  <si>
    <t>Legacy MD Medical Group, Inc.</t>
  </si>
  <si>
    <t>MACT Health Board, Incorporated</t>
  </si>
  <si>
    <t>Amador, Calaveras, Mariposa, Tuolumne</t>
  </si>
  <si>
    <t>Mathiesen Memorial Health Clinic</t>
  </si>
  <si>
    <t>Tuolumne</t>
  </si>
  <si>
    <t>Shasta</t>
  </si>
  <si>
    <t>Monterey     </t>
  </si>
  <si>
    <t>Mendonoma Health Alliance</t>
  </si>
  <si>
    <t>Mercy Medical Center Mt. Shasta</t>
  </si>
  <si>
    <t>Mountain Communities Healthcare District</t>
  </si>
  <si>
    <t>Trinity</t>
  </si>
  <si>
    <t>North Edge</t>
  </si>
  <si>
    <t>Humboldt, Mendocino</t>
  </si>
  <si>
    <t>NorthBay Healthcare Corporation</t>
  </si>
  <si>
    <t>Solano, Yolo</t>
  </si>
  <si>
    <t>Inyo</t>
  </si>
  <si>
    <t>Oak Valley Hospital District</t>
  </si>
  <si>
    <t>Mariposa, San Joaquin, Stanislaus</t>
  </si>
  <si>
    <t>Omni Family Health</t>
  </si>
  <si>
    <t>Fresno, Kern, Tulare</t>
  </si>
  <si>
    <t>San Luis Obispo</t>
  </si>
  <si>
    <t>Palo Verde Hospital</t>
  </si>
  <si>
    <t>Riverside</t>
  </si>
  <si>
    <t>Imperial, San Diego</t>
  </si>
  <si>
    <t>Pit River Health Service</t>
  </si>
  <si>
    <t>Modoc, Shasta</t>
  </si>
  <si>
    <t>Providence Medical Foundation</t>
  </si>
  <si>
    <t>Reach Out West End</t>
  </si>
  <si>
    <t>Riverside-San Bernardino County Indian Health, Inc.</t>
  </si>
  <si>
    <t>Riverside, San Bernardino</t>
  </si>
  <si>
    <t>Round Valley Indian Health Center, Inc.</t>
  </si>
  <si>
    <t>SAC Health System</t>
  </si>
  <si>
    <t>San Benito Health Foundation</t>
  </si>
  <si>
    <t>San Benito Hospital District</t>
  </si>
  <si>
    <t>San Diego State University Research Foundation</t>
  </si>
  <si>
    <t>Seneca Healthcare District</t>
  </si>
  <si>
    <t>Sequoia Family Medical Center</t>
  </si>
  <si>
    <t>Sierra Nevada Memorial Miners Hospital</t>
  </si>
  <si>
    <t>Nevada</t>
  </si>
  <si>
    <t>Sonoma Valley Hospital</t>
  </si>
  <si>
    <t>Sonoma</t>
  </si>
  <si>
    <t>Southern Inyo Healthcare District</t>
  </si>
  <si>
    <t>St. Elizabeth Community Hospital</t>
  </si>
  <si>
    <t>Tehama</t>
  </si>
  <si>
    <t>Stallant Medical Group Inc.</t>
  </si>
  <si>
    <t>Del Norte</t>
  </si>
  <si>
    <t>Sutter Coast Hospital</t>
  </si>
  <si>
    <t>Toiyabe Indian Health Project, Inc.</t>
  </si>
  <si>
    <t>Tuolumne Me-Wuk Indian Health Center, Inc.</t>
  </si>
  <si>
    <t>United Health Centers of the San Joaquin Valley</t>
  </si>
  <si>
    <t>Fresno, Kern, Kings, Tulare</t>
  </si>
  <si>
    <t>Del Norte, Humboldt</t>
  </si>
  <si>
    <t>Valley Health Team, Inc.</t>
  </si>
  <si>
    <t>Fresno, Inyo, Tulare</t>
  </si>
  <si>
    <t>Workforce Development</t>
  </si>
  <si>
    <t>Hill Country Community Clinic</t>
  </si>
  <si>
    <t>John C. Fremont Healthcare District</t>
  </si>
  <si>
    <t>Mariposa</t>
  </si>
  <si>
    <t>Stanislaus</t>
  </si>
  <si>
    <t>Shasta Cascade Health Centers</t>
  </si>
  <si>
    <t>Inyo </t>
  </si>
  <si>
    <t>Tuolumne, Mariposa</t>
  </si>
  <si>
    <t>Adventist Health</t>
  </si>
  <si>
    <t>Banner Health</t>
  </si>
  <si>
    <t>Community Health System</t>
  </si>
  <si>
    <t>Independent</t>
  </si>
  <si>
    <t>Dignity Health</t>
  </si>
  <si>
    <t>Trinity Hospital</t>
  </si>
  <si>
    <t>Award was to the District, not just the hospital</t>
  </si>
  <si>
    <t>Northern Inyo Hospital</t>
  </si>
  <si>
    <t>Providence</t>
  </si>
  <si>
    <t>Providence Medical Foundation is the medical group affiliated with Providence Hospitals</t>
  </si>
  <si>
    <t>Hazel Hawkins Memorial Hospital</t>
  </si>
  <si>
    <t>Not sure if this one is just for the hospital</t>
  </si>
  <si>
    <t>Arrowhead Regional Medical Center</t>
  </si>
  <si>
    <t>Sierra Nevada Memorial Hospital</t>
  </si>
  <si>
    <t>This is for the hospital's foundation</t>
  </si>
  <si>
    <t>Non-hospital</t>
  </si>
  <si>
    <t>ID</t>
  </si>
  <si>
    <t>Hospital</t>
  </si>
  <si>
    <t>System</t>
  </si>
  <si>
    <t>Location</t>
  </si>
  <si>
    <t>Amount</t>
  </si>
  <si>
    <t>CalRHT Budget Period 1</t>
  </si>
  <si>
    <t>Program</t>
  </si>
  <si>
    <t/>
  </si>
  <si>
    <t>Sutter Health</t>
  </si>
  <si>
    <t>Notes</t>
  </si>
  <si>
    <t>Not sure if this us, but think no</t>
  </si>
  <si>
    <t>Yes</t>
  </si>
  <si>
    <t>No</t>
  </si>
  <si>
    <t>Banner health foundation is the charitable nonprofit for Banner Health. Marking yes for rural because Banner Lassen is rural.</t>
  </si>
  <si>
    <t>Multiple facilities, but all are rural.</t>
  </si>
  <si>
    <t>A little uncertain here if this is us.</t>
  </si>
  <si>
    <t>Community Health Partners is the physician group affiliated with Community Health Systems. I'm saying yes for rural because most of their hospitals are rural.</t>
  </si>
  <si>
    <t>This is a very old name for the hospital… Not sure what is going on here.</t>
  </si>
  <si>
    <t>CAH</t>
  </si>
  <si>
    <t>Total:</t>
  </si>
  <si>
    <t>Non-Hospital Based:</t>
  </si>
  <si>
    <t xml:space="preserve">Filtered Total: </t>
  </si>
  <si>
    <t>Any Hospital-Based:</t>
  </si>
  <si>
    <t>Rural Hospital:</t>
  </si>
  <si>
    <t>CAH Hospital:</t>
  </si>
  <si>
    <t>Percent of Total</t>
  </si>
  <si>
    <t>Blue = non-hospital</t>
  </si>
  <si>
    <t>State Rural</t>
  </si>
  <si>
    <t>Accelerator Partner Program</t>
  </si>
  <si>
    <t>Electronic Health Record Modernization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</si>
</sst>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Seaford"/>
      <family val="2"/>
    </font>
    <font>
      <sz val="11"/>
      <color theme="1"/>
      <name val="Seaford"/>
      <family val="2"/>
    </font>
    <font>
      <b/>
      <sz val="13"/>
      <color theme="1"/>
      <name val="Seaford"/>
      <family val="2"/>
    </font>
  </fonts>
  <fills count="4">
    <fill>
      <patternFill patternType="none"/>
    </fill>
    <fill>
      <patternFill patternType="gray125"/>
    </fill>
    <fill>
      <patternFill patternType="solid">
        <fgColor rgb="FFC4DADB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2" fillId="3" borderId="1" xfId="0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3" fillId="2" borderId="1" xfId="0" applyFont="1" applyFill="1" applyBorder="1"/>
    <xf numFmtId="164" fontId="3" fillId="0" borderId="0" xfId="0" applyNumberFormat="1" applyFont="1"/>
    <xf numFmtId="9" fontId="2" fillId="0" borderId="0" xfId="1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/>
    <xf numFmtId="6" fontId="3" fillId="0" borderId="1" xfId="0" applyNumberFormat="1" applyFont="1" applyBorder="1"/>
    <xf numFmtId="0" fontId="3" fillId="0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C4DA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11280-93C2-4B72-9DAE-05401BD3E378}">
  <dimension ref="B1:K118"/>
  <sheetViews>
    <sheetView showGridLines="0" tabSelected="1" zoomScale="80" zoomScaleNormal="80" workbookViewId="0">
      <selection activeCell="J5" sqref="J5"/>
    </sheetView>
  </sheetViews>
  <sheetFormatPr defaultColWidth="8.90625" defaultRowHeight="15" x14ac:dyDescent="0.35"/>
  <cols>
    <col min="1" max="1" width="8.90625" style="2"/>
    <col min="2" max="2" width="37.36328125" style="2" bestFit="1" customWidth="1"/>
    <col min="3" max="3" width="19.36328125" style="1" bestFit="1" customWidth="1"/>
    <col min="4" max="4" width="11.08984375" style="1" bestFit="1" customWidth="1"/>
    <col min="5" max="5" width="77.453125" style="2" bestFit="1" customWidth="1"/>
    <col min="6" max="6" width="17.453125" style="2" customWidth="1"/>
    <col min="7" max="7" width="16" style="2" customWidth="1"/>
    <col min="8" max="8" width="56.90625" style="2" bestFit="1" customWidth="1"/>
    <col min="9" max="9" width="65.36328125" style="2" customWidth="1"/>
    <col min="10" max="10" width="15.81640625" style="2" bestFit="1" customWidth="1"/>
    <col min="11" max="11" width="147.453125" style="2" bestFit="1" customWidth="1"/>
    <col min="12" max="16384" width="8.90625" style="2"/>
  </cols>
  <sheetData>
    <row r="1" spans="2:11" ht="17.5" x14ac:dyDescent="0.4">
      <c r="B1" s="11" t="s">
        <v>186</v>
      </c>
    </row>
    <row r="2" spans="2:11" x14ac:dyDescent="0.35">
      <c r="B2" s="7" t="s">
        <v>207</v>
      </c>
      <c r="I2" s="10"/>
      <c r="J2" s="8"/>
      <c r="K2" s="2" t="s">
        <v>206</v>
      </c>
    </row>
    <row r="3" spans="2:11" x14ac:dyDescent="0.35">
      <c r="I3" s="10" t="s">
        <v>204</v>
      </c>
      <c r="J3" s="8">
        <v>63879556.380000003</v>
      </c>
      <c r="K3" s="9">
        <f>J3/J7</f>
        <v>0.46134400345724652</v>
      </c>
    </row>
    <row r="4" spans="2:11" x14ac:dyDescent="0.35">
      <c r="I4" s="10" t="s">
        <v>205</v>
      </c>
      <c r="J4" s="8">
        <v>46685499.939999998</v>
      </c>
      <c r="K4" s="9">
        <f>J4/J7</f>
        <v>0.33716695397192803</v>
      </c>
    </row>
    <row r="5" spans="2:11" x14ac:dyDescent="0.35">
      <c r="I5" s="10" t="s">
        <v>203</v>
      </c>
      <c r="J5" s="8">
        <f>SUM(J11:J71)</f>
        <v>84009171.379999995</v>
      </c>
      <c r="K5" s="9">
        <f>J5/J7</f>
        <v>0.60672192557225668</v>
      </c>
    </row>
    <row r="6" spans="2:11" x14ac:dyDescent="0.35">
      <c r="I6" s="10" t="s">
        <v>201</v>
      </c>
      <c r="J6" s="8">
        <f>SUM(J72:J118)</f>
        <v>54454872.589999996</v>
      </c>
      <c r="K6" s="9">
        <f>J6/J7</f>
        <v>0.39327807442774348</v>
      </c>
    </row>
    <row r="7" spans="2:11" x14ac:dyDescent="0.35">
      <c r="I7" s="10" t="s">
        <v>200</v>
      </c>
      <c r="J7" s="8">
        <v>138464043.96999997</v>
      </c>
    </row>
    <row r="8" spans="2:11" x14ac:dyDescent="0.35">
      <c r="I8" s="10"/>
      <c r="J8" s="8"/>
    </row>
    <row r="9" spans="2:11" x14ac:dyDescent="0.35">
      <c r="I9" s="10" t="s">
        <v>202</v>
      </c>
      <c r="J9" s="8">
        <f>SUBTOTAL(9,J11:J118)</f>
        <v>138464043.96999997</v>
      </c>
    </row>
    <row r="10" spans="2:11" x14ac:dyDescent="0.35">
      <c r="B10" s="3" t="s">
        <v>187</v>
      </c>
      <c r="C10" s="3" t="s">
        <v>180</v>
      </c>
      <c r="D10" s="3" t="s">
        <v>181</v>
      </c>
      <c r="E10" s="3" t="s">
        <v>182</v>
      </c>
      <c r="F10" s="3" t="s">
        <v>208</v>
      </c>
      <c r="G10" s="3" t="s">
        <v>199</v>
      </c>
      <c r="H10" s="3" t="s">
        <v>183</v>
      </c>
      <c r="I10" s="3" t="s">
        <v>184</v>
      </c>
      <c r="J10" s="3" t="s">
        <v>185</v>
      </c>
      <c r="K10" s="3" t="s">
        <v>190</v>
      </c>
    </row>
    <row r="11" spans="2:11" x14ac:dyDescent="0.35">
      <c r="B11" s="4" t="s">
        <v>64</v>
      </c>
      <c r="C11" s="5">
        <v>0</v>
      </c>
      <c r="D11" s="6">
        <v>106450936</v>
      </c>
      <c r="E11" s="4" t="s">
        <v>56</v>
      </c>
      <c r="F11" s="4" t="s">
        <v>192</v>
      </c>
      <c r="G11" s="4" t="s">
        <v>192</v>
      </c>
      <c r="H11" s="4" t="s">
        <v>168</v>
      </c>
      <c r="I11" s="4" t="s">
        <v>57</v>
      </c>
      <c r="J11" s="12">
        <v>3863636</v>
      </c>
      <c r="K11" s="4"/>
    </row>
    <row r="12" spans="2:11" x14ac:dyDescent="0.35">
      <c r="B12" s="4" t="s">
        <v>64</v>
      </c>
      <c r="C12" s="5">
        <v>0</v>
      </c>
      <c r="D12" s="6">
        <v>106270777</v>
      </c>
      <c r="E12" s="4" t="s">
        <v>12</v>
      </c>
      <c r="F12" s="4" t="s">
        <v>192</v>
      </c>
      <c r="G12" s="4" t="s">
        <v>192</v>
      </c>
      <c r="H12" s="4" t="s">
        <v>168</v>
      </c>
      <c r="I12" s="4" t="s">
        <v>13</v>
      </c>
      <c r="J12" s="12">
        <v>3863636</v>
      </c>
      <c r="K12" s="4"/>
    </row>
    <row r="13" spans="2:11" x14ac:dyDescent="0.35">
      <c r="B13" s="4" t="s">
        <v>64</v>
      </c>
      <c r="C13" s="5">
        <v>0</v>
      </c>
      <c r="D13" s="6">
        <v>106150782</v>
      </c>
      <c r="E13" s="4" t="s">
        <v>24</v>
      </c>
      <c r="F13" s="4" t="s">
        <v>192</v>
      </c>
      <c r="G13" s="4" t="s">
        <v>192</v>
      </c>
      <c r="H13" s="4" t="s">
        <v>168</v>
      </c>
      <c r="I13" s="4" t="s">
        <v>52</v>
      </c>
      <c r="J13" s="12">
        <v>3863636</v>
      </c>
      <c r="K13" s="4"/>
    </row>
    <row r="14" spans="2:11" x14ac:dyDescent="0.35">
      <c r="B14" s="4" t="s">
        <v>64</v>
      </c>
      <c r="C14" s="5">
        <v>0</v>
      </c>
      <c r="D14" s="6">
        <v>106540798</v>
      </c>
      <c r="E14" s="4" t="s">
        <v>62</v>
      </c>
      <c r="F14" s="4" t="s">
        <v>193</v>
      </c>
      <c r="G14" s="4"/>
      <c r="H14" s="4" t="s">
        <v>168</v>
      </c>
      <c r="I14" s="4" t="s">
        <v>63</v>
      </c>
      <c r="J14" s="12">
        <v>3863636</v>
      </c>
      <c r="K14" s="4"/>
    </row>
    <row r="15" spans="2:11" x14ac:dyDescent="0.35">
      <c r="B15" s="4" t="s">
        <v>64</v>
      </c>
      <c r="C15" s="5">
        <v>0</v>
      </c>
      <c r="D15" s="6">
        <v>106130760</v>
      </c>
      <c r="E15" s="4" t="s">
        <v>58</v>
      </c>
      <c r="F15" s="4" t="s">
        <v>193</v>
      </c>
      <c r="G15" s="4"/>
      <c r="H15" s="4" t="s">
        <v>168</v>
      </c>
      <c r="I15" s="4" t="s">
        <v>59</v>
      </c>
      <c r="J15" s="12">
        <v>3363636</v>
      </c>
      <c r="K15" s="4"/>
    </row>
    <row r="16" spans="2:11" x14ac:dyDescent="0.35">
      <c r="B16" s="4" t="s">
        <v>64</v>
      </c>
      <c r="C16" s="5">
        <v>0</v>
      </c>
      <c r="D16" s="6">
        <v>106350784</v>
      </c>
      <c r="E16" s="4" t="s">
        <v>60</v>
      </c>
      <c r="F16" s="4" t="s">
        <v>192</v>
      </c>
      <c r="G16" s="4" t="s">
        <v>192</v>
      </c>
      <c r="H16" s="4" t="s">
        <v>136</v>
      </c>
      <c r="I16" s="4" t="s">
        <v>61</v>
      </c>
      <c r="J16" s="12">
        <v>3363636</v>
      </c>
      <c r="K16" s="4" t="s">
        <v>176</v>
      </c>
    </row>
    <row r="17" spans="2:11" x14ac:dyDescent="0.35">
      <c r="B17" s="4" t="s">
        <v>209</v>
      </c>
      <c r="C17" s="5">
        <v>0</v>
      </c>
      <c r="D17" s="6">
        <v>106150782</v>
      </c>
      <c r="E17" s="4" t="s">
        <v>24</v>
      </c>
      <c r="F17" s="4" t="s">
        <v>192</v>
      </c>
      <c r="G17" s="4" t="s">
        <v>192</v>
      </c>
      <c r="H17" s="4" t="s">
        <v>168</v>
      </c>
      <c r="I17" s="4" t="s">
        <v>25</v>
      </c>
      <c r="J17" s="12">
        <v>3037275.28</v>
      </c>
      <c r="K17" s="4"/>
    </row>
    <row r="18" spans="2:11" x14ac:dyDescent="0.35">
      <c r="B18" s="4" t="s">
        <v>209</v>
      </c>
      <c r="C18" s="5">
        <v>0</v>
      </c>
      <c r="D18" s="6">
        <v>106420491</v>
      </c>
      <c r="E18" s="4" t="s">
        <v>8</v>
      </c>
      <c r="F18" s="4" t="s">
        <v>192</v>
      </c>
      <c r="G18" s="4"/>
      <c r="H18" s="4" t="s">
        <v>168</v>
      </c>
      <c r="I18" s="4" t="s">
        <v>9</v>
      </c>
      <c r="J18" s="12">
        <v>2573673.34</v>
      </c>
      <c r="K18" s="4"/>
    </row>
    <row r="19" spans="2:11" x14ac:dyDescent="0.35">
      <c r="B19" s="4" t="s">
        <v>64</v>
      </c>
      <c r="C19" s="5">
        <v>0</v>
      </c>
      <c r="D19" s="6">
        <v>106234038</v>
      </c>
      <c r="E19" s="4" t="s">
        <v>47</v>
      </c>
      <c r="F19" s="4" t="s">
        <v>192</v>
      </c>
      <c r="G19" s="4" t="s">
        <v>192</v>
      </c>
      <c r="H19" s="4" t="s">
        <v>165</v>
      </c>
      <c r="I19" s="4" t="s">
        <v>48</v>
      </c>
      <c r="J19" s="12">
        <v>2563636</v>
      </c>
      <c r="K19" s="4"/>
    </row>
    <row r="20" spans="2:11" x14ac:dyDescent="0.35">
      <c r="B20" s="4" t="s">
        <v>64</v>
      </c>
      <c r="C20" s="5">
        <v>0</v>
      </c>
      <c r="D20" s="6">
        <v>106554011</v>
      </c>
      <c r="E20" s="4" t="s">
        <v>49</v>
      </c>
      <c r="F20" s="4" t="s">
        <v>192</v>
      </c>
      <c r="G20" s="4"/>
      <c r="H20" s="4" t="s">
        <v>165</v>
      </c>
      <c r="I20" s="4" t="s">
        <v>50</v>
      </c>
      <c r="J20" s="12">
        <v>2563636</v>
      </c>
      <c r="K20" s="4"/>
    </row>
    <row r="21" spans="2:11" x14ac:dyDescent="0.35">
      <c r="B21" s="4" t="s">
        <v>64</v>
      </c>
      <c r="C21" s="5">
        <v>0</v>
      </c>
      <c r="D21" s="6">
        <v>106154168</v>
      </c>
      <c r="E21" s="4" t="s">
        <v>51</v>
      </c>
      <c r="F21" s="4" t="s">
        <v>192</v>
      </c>
      <c r="G21" s="4" t="s">
        <v>192</v>
      </c>
      <c r="H21" s="4" t="s">
        <v>165</v>
      </c>
      <c r="I21" s="4" t="s">
        <v>52</v>
      </c>
      <c r="J21" s="12">
        <v>2563636</v>
      </c>
      <c r="K21" s="4"/>
    </row>
    <row r="22" spans="2:11" x14ac:dyDescent="0.35">
      <c r="B22" s="4" t="s">
        <v>64</v>
      </c>
      <c r="C22" s="5">
        <v>0</v>
      </c>
      <c r="D22" s="6">
        <v>106231396</v>
      </c>
      <c r="E22" s="4" t="s">
        <v>53</v>
      </c>
      <c r="F22" s="4" t="s">
        <v>192</v>
      </c>
      <c r="G22" s="4"/>
      <c r="H22" s="4" t="s">
        <v>165</v>
      </c>
      <c r="I22" s="4" t="s">
        <v>48</v>
      </c>
      <c r="J22" s="12">
        <v>2563636</v>
      </c>
      <c r="K22" s="4"/>
    </row>
    <row r="23" spans="2:11" x14ac:dyDescent="0.35">
      <c r="B23" s="4" t="s">
        <v>64</v>
      </c>
      <c r="C23" s="5">
        <v>0</v>
      </c>
      <c r="D23" s="6">
        <v>106474007</v>
      </c>
      <c r="E23" s="4" t="s">
        <v>54</v>
      </c>
      <c r="F23" s="4" t="s">
        <v>192</v>
      </c>
      <c r="G23" s="4" t="s">
        <v>192</v>
      </c>
      <c r="H23" s="4" t="s">
        <v>168</v>
      </c>
      <c r="I23" s="4" t="s">
        <v>55</v>
      </c>
      <c r="J23" s="12">
        <v>2563636</v>
      </c>
      <c r="K23" s="4"/>
    </row>
    <row r="24" spans="2:11" x14ac:dyDescent="0.35">
      <c r="B24" s="4" t="s">
        <v>209</v>
      </c>
      <c r="C24" s="5">
        <v>0</v>
      </c>
      <c r="D24" s="6">
        <v>106270875</v>
      </c>
      <c r="E24" s="4" t="s">
        <v>26</v>
      </c>
      <c r="F24" s="4" t="s">
        <v>193</v>
      </c>
      <c r="G24" s="4"/>
      <c r="H24" s="4" t="s">
        <v>168</v>
      </c>
      <c r="I24" s="4" t="s">
        <v>27</v>
      </c>
      <c r="J24" s="12">
        <v>2476294</v>
      </c>
      <c r="K24" s="4"/>
    </row>
    <row r="25" spans="2:11" x14ac:dyDescent="0.35">
      <c r="B25" s="4" t="s">
        <v>209</v>
      </c>
      <c r="C25" s="5">
        <v>0</v>
      </c>
      <c r="D25" s="6"/>
      <c r="E25" s="4" t="s">
        <v>14</v>
      </c>
      <c r="F25" s="4"/>
      <c r="G25" s="4"/>
      <c r="H25" s="4" t="s">
        <v>169</v>
      </c>
      <c r="I25" s="4" t="s">
        <v>15</v>
      </c>
      <c r="J25" s="12">
        <v>2434569</v>
      </c>
      <c r="K25" s="4" t="s">
        <v>196</v>
      </c>
    </row>
    <row r="26" spans="2:11" x14ac:dyDescent="0.35">
      <c r="B26" s="4" t="s">
        <v>209</v>
      </c>
      <c r="C26" s="5">
        <v>0</v>
      </c>
      <c r="D26" s="6">
        <v>106320986</v>
      </c>
      <c r="E26" s="4" t="s">
        <v>22</v>
      </c>
      <c r="F26" s="4" t="s">
        <v>192</v>
      </c>
      <c r="G26" s="4" t="s">
        <v>192</v>
      </c>
      <c r="H26" s="4" t="s">
        <v>168</v>
      </c>
      <c r="I26" s="4" t="s">
        <v>23</v>
      </c>
      <c r="J26" s="12">
        <v>2427666</v>
      </c>
      <c r="K26" s="4"/>
    </row>
    <row r="27" spans="2:11" x14ac:dyDescent="0.35">
      <c r="B27" s="4" t="s">
        <v>210</v>
      </c>
      <c r="C27" s="5">
        <v>0</v>
      </c>
      <c r="D27" s="6">
        <v>106220733</v>
      </c>
      <c r="E27" s="4" t="s">
        <v>159</v>
      </c>
      <c r="F27" s="4" t="s">
        <v>192</v>
      </c>
      <c r="G27" s="4" t="s">
        <v>192</v>
      </c>
      <c r="H27" s="4" t="s">
        <v>168</v>
      </c>
      <c r="I27" s="4" t="s">
        <v>160</v>
      </c>
      <c r="J27" s="12">
        <v>2000000</v>
      </c>
      <c r="K27" s="4" t="s">
        <v>195</v>
      </c>
    </row>
    <row r="28" spans="2:11" x14ac:dyDescent="0.35">
      <c r="B28" s="4" t="s">
        <v>210</v>
      </c>
      <c r="C28" s="5">
        <v>0</v>
      </c>
      <c r="D28" s="6">
        <v>106500967</v>
      </c>
      <c r="E28" s="4" t="s">
        <v>18</v>
      </c>
      <c r="F28" s="4" t="s">
        <v>192</v>
      </c>
      <c r="G28" s="4"/>
      <c r="H28" s="4" t="s">
        <v>119</v>
      </c>
      <c r="I28" s="4" t="s">
        <v>161</v>
      </c>
      <c r="J28" s="12">
        <v>2000000</v>
      </c>
      <c r="K28" s="4"/>
    </row>
    <row r="29" spans="2:11" x14ac:dyDescent="0.35">
      <c r="B29" s="4" t="s">
        <v>210</v>
      </c>
      <c r="C29" s="5">
        <v>0</v>
      </c>
      <c r="D29" s="6">
        <v>106141338</v>
      </c>
      <c r="E29" s="4" t="s">
        <v>144</v>
      </c>
      <c r="F29" s="4" t="s">
        <v>192</v>
      </c>
      <c r="G29" s="4" t="s">
        <v>192</v>
      </c>
      <c r="H29" s="4" t="s">
        <v>168</v>
      </c>
      <c r="I29" s="4" t="s">
        <v>163</v>
      </c>
      <c r="J29" s="12">
        <v>2000000</v>
      </c>
      <c r="K29" s="4"/>
    </row>
    <row r="30" spans="2:11" x14ac:dyDescent="0.35">
      <c r="B30" s="4" t="s">
        <v>209</v>
      </c>
      <c r="C30" s="5">
        <v>0</v>
      </c>
      <c r="D30" s="6">
        <v>106090933</v>
      </c>
      <c r="E30" s="4" t="s">
        <v>10</v>
      </c>
      <c r="F30" s="4" t="s">
        <v>192</v>
      </c>
      <c r="G30" s="4"/>
      <c r="H30" s="4" t="s">
        <v>168</v>
      </c>
      <c r="I30" s="4" t="s">
        <v>11</v>
      </c>
      <c r="J30" s="12">
        <v>1648200.33</v>
      </c>
      <c r="K30" s="4"/>
    </row>
    <row r="31" spans="2:11" x14ac:dyDescent="0.35">
      <c r="B31" s="4" t="s">
        <v>157</v>
      </c>
      <c r="C31" s="5">
        <v>0</v>
      </c>
      <c r="D31" s="6"/>
      <c r="E31" s="4" t="s">
        <v>65</v>
      </c>
      <c r="F31" s="4"/>
      <c r="G31" s="4"/>
      <c r="H31" s="13" t="s">
        <v>165</v>
      </c>
      <c r="I31" s="4" t="s">
        <v>66</v>
      </c>
      <c r="J31" s="12">
        <v>1592830</v>
      </c>
      <c r="K31" s="4"/>
    </row>
    <row r="32" spans="2:11" x14ac:dyDescent="0.35">
      <c r="B32" s="4" t="s">
        <v>209</v>
      </c>
      <c r="C32" s="5">
        <v>0</v>
      </c>
      <c r="D32" s="6">
        <v>106291053</v>
      </c>
      <c r="E32" s="4" t="s">
        <v>30</v>
      </c>
      <c r="F32" s="4" t="s">
        <v>192</v>
      </c>
      <c r="G32" s="4" t="s">
        <v>192</v>
      </c>
      <c r="H32" s="4" t="s">
        <v>168</v>
      </c>
      <c r="I32" s="4" t="s">
        <v>31</v>
      </c>
      <c r="J32" s="12">
        <v>1559015</v>
      </c>
      <c r="K32" s="4"/>
    </row>
    <row r="33" spans="2:11" x14ac:dyDescent="0.35">
      <c r="B33" s="4" t="s">
        <v>209</v>
      </c>
      <c r="C33" s="5">
        <v>0</v>
      </c>
      <c r="D33" s="6">
        <v>106270777</v>
      </c>
      <c r="E33" s="4" t="s">
        <v>12</v>
      </c>
      <c r="F33" s="4" t="s">
        <v>192</v>
      </c>
      <c r="G33" s="4" t="s">
        <v>192</v>
      </c>
      <c r="H33" s="4" t="s">
        <v>168</v>
      </c>
      <c r="I33" s="4" t="s">
        <v>13</v>
      </c>
      <c r="J33" s="12">
        <v>1436125.66</v>
      </c>
      <c r="K33" s="4"/>
    </row>
    <row r="34" spans="2:11" x14ac:dyDescent="0.35">
      <c r="B34" s="4" t="s">
        <v>210</v>
      </c>
      <c r="C34" s="5">
        <v>0</v>
      </c>
      <c r="D34" s="6">
        <v>106491076</v>
      </c>
      <c r="E34" s="4" t="s">
        <v>142</v>
      </c>
      <c r="F34" s="4" t="s">
        <v>193</v>
      </c>
      <c r="G34" s="4"/>
      <c r="H34" s="4" t="s">
        <v>168</v>
      </c>
      <c r="I34" s="4" t="s">
        <v>143</v>
      </c>
      <c r="J34" s="12">
        <v>1183655</v>
      </c>
      <c r="K34" s="4"/>
    </row>
    <row r="35" spans="2:11" x14ac:dyDescent="0.35">
      <c r="B35" s="4" t="s">
        <v>209</v>
      </c>
      <c r="C35" s="5">
        <v>0</v>
      </c>
      <c r="D35" s="6">
        <v>106500967</v>
      </c>
      <c r="E35" s="4" t="s">
        <v>18</v>
      </c>
      <c r="F35" s="4" t="s">
        <v>192</v>
      </c>
      <c r="G35" s="4"/>
      <c r="H35" s="4" t="s">
        <v>168</v>
      </c>
      <c r="I35" s="4" t="s">
        <v>19</v>
      </c>
      <c r="J35" s="12">
        <v>1136750</v>
      </c>
      <c r="K35" s="4"/>
    </row>
    <row r="36" spans="2:11" x14ac:dyDescent="0.35">
      <c r="B36" s="4" t="s">
        <v>157</v>
      </c>
      <c r="C36" s="5">
        <v>0</v>
      </c>
      <c r="D36" s="6">
        <v>106130760</v>
      </c>
      <c r="E36" s="4" t="s">
        <v>58</v>
      </c>
      <c r="F36" s="4" t="s">
        <v>193</v>
      </c>
      <c r="G36" s="4"/>
      <c r="H36" s="4" t="s">
        <v>168</v>
      </c>
      <c r="I36" s="4" t="s">
        <v>126</v>
      </c>
      <c r="J36" s="12">
        <v>1030863</v>
      </c>
      <c r="K36" s="4"/>
    </row>
    <row r="37" spans="2:11" x14ac:dyDescent="0.35">
      <c r="B37" s="4" t="s">
        <v>157</v>
      </c>
      <c r="C37" s="5">
        <v>0</v>
      </c>
      <c r="D37" s="6">
        <v>106474007</v>
      </c>
      <c r="E37" s="4" t="s">
        <v>54</v>
      </c>
      <c r="F37" s="4" t="s">
        <v>192</v>
      </c>
      <c r="G37" s="4" t="s">
        <v>192</v>
      </c>
      <c r="H37" s="4" t="s">
        <v>168</v>
      </c>
      <c r="I37" s="4" t="s">
        <v>55</v>
      </c>
      <c r="J37" s="12">
        <v>1000000</v>
      </c>
      <c r="K37" s="4"/>
    </row>
    <row r="38" spans="2:11" x14ac:dyDescent="0.35">
      <c r="B38" s="4" t="s">
        <v>157</v>
      </c>
      <c r="C38" s="5">
        <v>0</v>
      </c>
      <c r="D38" s="6"/>
      <c r="E38" s="4" t="s">
        <v>116</v>
      </c>
      <c r="F38" s="4"/>
      <c r="G38" s="4"/>
      <c r="H38" s="4" t="s">
        <v>116</v>
      </c>
      <c r="I38" s="4" t="s">
        <v>117</v>
      </c>
      <c r="J38" s="12">
        <v>1000000</v>
      </c>
      <c r="K38" s="4"/>
    </row>
    <row r="39" spans="2:11" x14ac:dyDescent="0.35">
      <c r="B39" s="4" t="s">
        <v>157</v>
      </c>
      <c r="C39" s="5">
        <v>0</v>
      </c>
      <c r="D39" s="6">
        <v>106141338</v>
      </c>
      <c r="E39" s="4" t="s">
        <v>144</v>
      </c>
      <c r="F39" s="4" t="s">
        <v>192</v>
      </c>
      <c r="G39" s="4" t="s">
        <v>192</v>
      </c>
      <c r="H39" s="4" t="s">
        <v>168</v>
      </c>
      <c r="I39" s="4" t="s">
        <v>118</v>
      </c>
      <c r="J39" s="12">
        <v>1000000</v>
      </c>
      <c r="K39" s="4"/>
    </row>
    <row r="40" spans="2:11" x14ac:dyDescent="0.35">
      <c r="B40" s="4" t="s">
        <v>157</v>
      </c>
      <c r="C40" s="5">
        <v>0</v>
      </c>
      <c r="D40" s="6">
        <v>106084001</v>
      </c>
      <c r="E40" s="4" t="s">
        <v>149</v>
      </c>
      <c r="F40" s="4" t="s">
        <v>192</v>
      </c>
      <c r="G40" s="4"/>
      <c r="H40" s="4" t="s">
        <v>189</v>
      </c>
      <c r="I40" s="4" t="s">
        <v>148</v>
      </c>
      <c r="J40" s="12">
        <v>1000000</v>
      </c>
      <c r="K40" s="4"/>
    </row>
    <row r="41" spans="2:11" x14ac:dyDescent="0.35">
      <c r="B41" s="4" t="s">
        <v>157</v>
      </c>
      <c r="C41" s="5">
        <v>0</v>
      </c>
      <c r="D41" s="6">
        <v>106291023</v>
      </c>
      <c r="E41" s="4" t="s">
        <v>140</v>
      </c>
      <c r="F41" s="4" t="s">
        <v>192</v>
      </c>
      <c r="G41" s="4"/>
      <c r="H41" s="4" t="s">
        <v>169</v>
      </c>
      <c r="I41" s="4" t="s">
        <v>141</v>
      </c>
      <c r="J41" s="12">
        <v>998240</v>
      </c>
      <c r="K41" s="4" t="s">
        <v>198</v>
      </c>
    </row>
    <row r="42" spans="2:11" x14ac:dyDescent="0.35">
      <c r="B42" s="4" t="s">
        <v>157</v>
      </c>
      <c r="C42" s="5">
        <v>0</v>
      </c>
      <c r="D42" s="6">
        <v>106291053</v>
      </c>
      <c r="E42" s="4" t="s">
        <v>30</v>
      </c>
      <c r="F42" s="4" t="s">
        <v>192</v>
      </c>
      <c r="G42" s="4" t="s">
        <v>192</v>
      </c>
      <c r="H42" s="4" t="s">
        <v>168</v>
      </c>
      <c r="I42" s="4" t="s">
        <v>141</v>
      </c>
      <c r="J42" s="12">
        <v>998208</v>
      </c>
      <c r="K42" s="4"/>
    </row>
    <row r="43" spans="2:11" x14ac:dyDescent="0.35">
      <c r="B43" s="4" t="s">
        <v>157</v>
      </c>
      <c r="C43" s="5">
        <v>0</v>
      </c>
      <c r="D43" s="6">
        <v>106531059</v>
      </c>
      <c r="E43" s="4" t="s">
        <v>170</v>
      </c>
      <c r="F43" s="4" t="s">
        <v>192</v>
      </c>
      <c r="G43" s="4" t="s">
        <v>192</v>
      </c>
      <c r="H43" s="4" t="s">
        <v>112</v>
      </c>
      <c r="I43" s="4" t="s">
        <v>113</v>
      </c>
      <c r="J43" s="12">
        <v>997500</v>
      </c>
      <c r="K43" s="4" t="s">
        <v>171</v>
      </c>
    </row>
    <row r="44" spans="2:11" x14ac:dyDescent="0.35">
      <c r="B44" s="4" t="s">
        <v>157</v>
      </c>
      <c r="C44" s="5">
        <v>0</v>
      </c>
      <c r="D44" s="6">
        <v>106331288</v>
      </c>
      <c r="E44" s="4" t="s">
        <v>124</v>
      </c>
      <c r="F44" s="4" t="s">
        <v>192</v>
      </c>
      <c r="G44" s="4" t="s">
        <v>192</v>
      </c>
      <c r="H44" s="4" t="s">
        <v>168</v>
      </c>
      <c r="I44" s="4" t="s">
        <v>125</v>
      </c>
      <c r="J44" s="12">
        <v>850000</v>
      </c>
      <c r="K44" s="4"/>
    </row>
    <row r="45" spans="2:11" x14ac:dyDescent="0.35">
      <c r="B45" s="4" t="s">
        <v>157</v>
      </c>
      <c r="C45" s="5">
        <v>0</v>
      </c>
      <c r="D45" s="6">
        <v>106270777</v>
      </c>
      <c r="E45" s="4" t="s">
        <v>12</v>
      </c>
      <c r="F45" s="4" t="s">
        <v>192</v>
      </c>
      <c r="G45" s="4" t="s">
        <v>192</v>
      </c>
      <c r="H45" s="4" t="s">
        <v>168</v>
      </c>
      <c r="I45" s="4" t="s">
        <v>109</v>
      </c>
      <c r="J45" s="12">
        <v>849246</v>
      </c>
      <c r="K45" s="4"/>
    </row>
    <row r="46" spans="2:11" x14ac:dyDescent="0.35">
      <c r="B46" s="4" t="s">
        <v>157</v>
      </c>
      <c r="C46" s="5">
        <v>0</v>
      </c>
      <c r="D46" s="6">
        <v>106540798</v>
      </c>
      <c r="E46" s="4" t="s">
        <v>62</v>
      </c>
      <c r="F46" s="4" t="s">
        <v>193</v>
      </c>
      <c r="G46" s="4"/>
      <c r="H46" s="4" t="s">
        <v>168</v>
      </c>
      <c r="I46" s="4" t="s">
        <v>63</v>
      </c>
      <c r="J46" s="12">
        <v>845000</v>
      </c>
      <c r="K46" s="4"/>
    </row>
    <row r="47" spans="2:11" x14ac:dyDescent="0.35">
      <c r="B47" s="4" t="s">
        <v>157</v>
      </c>
      <c r="C47" s="5">
        <v>0</v>
      </c>
      <c r="D47" s="6">
        <v>106320986</v>
      </c>
      <c r="E47" s="4" t="s">
        <v>22</v>
      </c>
      <c r="F47" s="4" t="s">
        <v>192</v>
      </c>
      <c r="G47" s="4" t="s">
        <v>192</v>
      </c>
      <c r="H47" s="4" t="s">
        <v>168</v>
      </c>
      <c r="I47" s="4" t="s">
        <v>23</v>
      </c>
      <c r="J47" s="12">
        <v>800000</v>
      </c>
      <c r="K47" s="4"/>
    </row>
    <row r="48" spans="2:11" x14ac:dyDescent="0.35">
      <c r="B48" s="4" t="s">
        <v>157</v>
      </c>
      <c r="C48" s="5">
        <v>0</v>
      </c>
      <c r="D48" s="6">
        <v>106361458</v>
      </c>
      <c r="E48" s="4" t="s">
        <v>81</v>
      </c>
      <c r="F48" s="4" t="s">
        <v>192</v>
      </c>
      <c r="G48" s="4" t="s">
        <v>192</v>
      </c>
      <c r="H48" s="4" t="s">
        <v>168</v>
      </c>
      <c r="I48" s="4" t="s">
        <v>41</v>
      </c>
      <c r="J48" s="12">
        <v>716667</v>
      </c>
      <c r="K48" s="4"/>
    </row>
    <row r="49" spans="2:11" x14ac:dyDescent="0.35">
      <c r="B49" s="4" t="s">
        <v>209</v>
      </c>
      <c r="C49" s="5">
        <v>0</v>
      </c>
      <c r="D49" s="6">
        <v>106291023</v>
      </c>
      <c r="E49" s="4" t="s">
        <v>178</v>
      </c>
      <c r="F49" s="4" t="s">
        <v>192</v>
      </c>
      <c r="G49" s="4"/>
      <c r="H49" s="4" t="s">
        <v>28</v>
      </c>
      <c r="I49" s="4" t="s">
        <v>29</v>
      </c>
      <c r="J49" s="12">
        <v>708220.53</v>
      </c>
      <c r="K49" s="4" t="s">
        <v>179</v>
      </c>
    </row>
    <row r="50" spans="2:11" x14ac:dyDescent="0.35">
      <c r="B50" s="4" t="s">
        <v>209</v>
      </c>
      <c r="C50" s="5">
        <v>0</v>
      </c>
      <c r="D50" s="6"/>
      <c r="E50" s="4" t="s">
        <v>2</v>
      </c>
      <c r="F50" s="13" t="s">
        <v>192</v>
      </c>
      <c r="G50" s="13"/>
      <c r="H50" s="4" t="s">
        <v>167</v>
      </c>
      <c r="I50" s="4" t="s">
        <v>3</v>
      </c>
      <c r="J50" s="12">
        <v>706348.24</v>
      </c>
      <c r="K50" s="4" t="s">
        <v>197</v>
      </c>
    </row>
    <row r="51" spans="2:11" x14ac:dyDescent="0.35">
      <c r="B51" s="4" t="s">
        <v>157</v>
      </c>
      <c r="C51" s="5">
        <v>0</v>
      </c>
      <c r="D51" s="6">
        <v>106450936</v>
      </c>
      <c r="E51" s="4" t="s">
        <v>56</v>
      </c>
      <c r="F51" s="13" t="s">
        <v>192</v>
      </c>
      <c r="G51" s="13" t="s">
        <v>192</v>
      </c>
      <c r="H51" s="4" t="s">
        <v>168</v>
      </c>
      <c r="I51" s="4" t="s">
        <v>108</v>
      </c>
      <c r="J51" s="12">
        <v>635000</v>
      </c>
      <c r="K51" s="4"/>
    </row>
    <row r="52" spans="2:11" x14ac:dyDescent="0.35">
      <c r="B52" s="4" t="s">
        <v>157</v>
      </c>
      <c r="C52" s="5">
        <v>0</v>
      </c>
      <c r="D52" s="6"/>
      <c r="E52" s="4" t="s">
        <v>73</v>
      </c>
      <c r="F52" s="13" t="s">
        <v>192</v>
      </c>
      <c r="G52" s="13" t="s">
        <v>192</v>
      </c>
      <c r="H52" s="4" t="s">
        <v>166</v>
      </c>
      <c r="I52" s="4" t="s">
        <v>74</v>
      </c>
      <c r="J52" s="12">
        <v>620000</v>
      </c>
      <c r="K52" s="4" t="s">
        <v>194</v>
      </c>
    </row>
    <row r="53" spans="2:11" x14ac:dyDescent="0.35">
      <c r="B53" s="4" t="s">
        <v>157</v>
      </c>
      <c r="C53" s="5">
        <v>0</v>
      </c>
      <c r="D53" s="6">
        <v>106350784</v>
      </c>
      <c r="E53" s="4" t="s">
        <v>175</v>
      </c>
      <c r="F53" s="13" t="s">
        <v>192</v>
      </c>
      <c r="G53" s="13" t="s">
        <v>192</v>
      </c>
      <c r="H53" s="4" t="s">
        <v>136</v>
      </c>
      <c r="I53" s="4" t="s">
        <v>61</v>
      </c>
      <c r="J53" s="12">
        <v>563158</v>
      </c>
      <c r="K53" s="4" t="s">
        <v>171</v>
      </c>
    </row>
    <row r="54" spans="2:11" x14ac:dyDescent="0.35">
      <c r="B54" s="4" t="s">
        <v>157</v>
      </c>
      <c r="C54" s="5">
        <v>0</v>
      </c>
      <c r="D54" s="6">
        <v>106491076</v>
      </c>
      <c r="E54" s="4" t="s">
        <v>142</v>
      </c>
      <c r="F54" s="13" t="s">
        <v>193</v>
      </c>
      <c r="G54" s="13"/>
      <c r="H54" s="4" t="s">
        <v>168</v>
      </c>
      <c r="I54" s="4" t="s">
        <v>143</v>
      </c>
      <c r="J54" s="12">
        <v>550000</v>
      </c>
      <c r="K54" s="4"/>
    </row>
    <row r="55" spans="2:11" x14ac:dyDescent="0.35">
      <c r="B55" s="4" t="s">
        <v>46</v>
      </c>
      <c r="C55" s="5">
        <v>0</v>
      </c>
      <c r="D55" s="6">
        <v>106364231</v>
      </c>
      <c r="E55" s="4" t="s">
        <v>177</v>
      </c>
      <c r="F55" s="13" t="s">
        <v>193</v>
      </c>
      <c r="G55" s="13"/>
      <c r="H55" s="4" t="s">
        <v>40</v>
      </c>
      <c r="I55" s="4" t="s">
        <v>41</v>
      </c>
      <c r="J55" s="12">
        <v>500000</v>
      </c>
      <c r="K55" s="4" t="s">
        <v>176</v>
      </c>
    </row>
    <row r="56" spans="2:11" x14ac:dyDescent="0.35">
      <c r="B56" s="4" t="s">
        <v>46</v>
      </c>
      <c r="C56" s="5">
        <v>0</v>
      </c>
      <c r="D56" s="6"/>
      <c r="E56" s="4" t="s">
        <v>42</v>
      </c>
      <c r="F56" s="13"/>
      <c r="G56" s="13"/>
      <c r="H56" s="4" t="s">
        <v>42</v>
      </c>
      <c r="I56" s="4" t="s">
        <v>43</v>
      </c>
      <c r="J56" s="12">
        <v>498854</v>
      </c>
      <c r="K56" s="4"/>
    </row>
    <row r="57" spans="2:11" x14ac:dyDescent="0.35">
      <c r="B57" s="4" t="s">
        <v>157</v>
      </c>
      <c r="C57" s="5">
        <v>0</v>
      </c>
      <c r="D57" s="6"/>
      <c r="E57" s="4" t="s">
        <v>129</v>
      </c>
      <c r="F57" s="13"/>
      <c r="G57" s="13"/>
      <c r="H57" s="4" t="s">
        <v>173</v>
      </c>
      <c r="I57" s="4" t="s">
        <v>93</v>
      </c>
      <c r="J57" s="12">
        <v>450000</v>
      </c>
      <c r="K57" s="4" t="s">
        <v>174</v>
      </c>
    </row>
    <row r="58" spans="2:11" x14ac:dyDescent="0.35">
      <c r="B58" s="4" t="s">
        <v>46</v>
      </c>
      <c r="C58" s="5">
        <v>0</v>
      </c>
      <c r="D58" s="6"/>
      <c r="E58" s="4" t="s">
        <v>38</v>
      </c>
      <c r="F58" s="13" t="s">
        <v>192</v>
      </c>
      <c r="G58" s="13"/>
      <c r="H58" s="4" t="s">
        <v>38</v>
      </c>
      <c r="I58" s="4" t="s">
        <v>39</v>
      </c>
      <c r="J58" s="12">
        <v>441210</v>
      </c>
      <c r="K58" s="4"/>
    </row>
    <row r="59" spans="2:11" x14ac:dyDescent="0.35">
      <c r="B59" s="4" t="s">
        <v>157</v>
      </c>
      <c r="C59" s="5">
        <v>0</v>
      </c>
      <c r="D59" s="6">
        <v>106320859</v>
      </c>
      <c r="E59" s="4" t="s">
        <v>86</v>
      </c>
      <c r="F59" s="4" t="s">
        <v>192</v>
      </c>
      <c r="G59" s="4" t="s">
        <v>192</v>
      </c>
      <c r="H59" s="4" t="s">
        <v>168</v>
      </c>
      <c r="I59" s="4" t="s">
        <v>87</v>
      </c>
      <c r="J59" s="12">
        <v>419000</v>
      </c>
      <c r="K59" s="4"/>
    </row>
    <row r="60" spans="2:11" x14ac:dyDescent="0.35">
      <c r="B60" s="4" t="s">
        <v>210</v>
      </c>
      <c r="C60" s="5">
        <v>0</v>
      </c>
      <c r="D60" s="6">
        <v>106190045</v>
      </c>
      <c r="E60" s="4" t="s">
        <v>78</v>
      </c>
      <c r="F60" s="4" t="s">
        <v>192</v>
      </c>
      <c r="G60" s="4" t="s">
        <v>192</v>
      </c>
      <c r="H60" s="4" t="s">
        <v>168</v>
      </c>
      <c r="I60" s="4" t="s">
        <v>79</v>
      </c>
      <c r="J60" s="12">
        <v>383333</v>
      </c>
      <c r="K60" s="4"/>
    </row>
    <row r="61" spans="2:11" x14ac:dyDescent="0.35">
      <c r="B61" s="4" t="s">
        <v>157</v>
      </c>
      <c r="C61" s="5">
        <v>0</v>
      </c>
      <c r="D61" s="6">
        <v>106121031</v>
      </c>
      <c r="E61" s="4" t="s">
        <v>100</v>
      </c>
      <c r="F61" s="4" t="s">
        <v>192</v>
      </c>
      <c r="G61" s="4" t="s">
        <v>192</v>
      </c>
      <c r="H61" s="4" t="s">
        <v>168</v>
      </c>
      <c r="I61" s="4" t="s">
        <v>93</v>
      </c>
      <c r="J61" s="12">
        <v>357500</v>
      </c>
      <c r="K61" s="4"/>
    </row>
    <row r="62" spans="2:11" x14ac:dyDescent="0.35">
      <c r="B62" s="4" t="s">
        <v>157</v>
      </c>
      <c r="C62" s="5">
        <v>0</v>
      </c>
      <c r="D62" s="6">
        <v>106150775</v>
      </c>
      <c r="E62" s="4" t="s">
        <v>94</v>
      </c>
      <c r="F62" s="4" t="s">
        <v>193</v>
      </c>
      <c r="G62" s="4"/>
      <c r="H62" s="4" t="s">
        <v>168</v>
      </c>
      <c r="I62" s="4" t="s">
        <v>52</v>
      </c>
      <c r="J62" s="12">
        <v>340278</v>
      </c>
      <c r="K62" s="4"/>
    </row>
    <row r="63" spans="2:11" x14ac:dyDescent="0.35">
      <c r="B63" s="4" t="s">
        <v>210</v>
      </c>
      <c r="C63" s="5">
        <v>0</v>
      </c>
      <c r="D63" s="6">
        <v>106420491</v>
      </c>
      <c r="E63" s="4" t="s">
        <v>8</v>
      </c>
      <c r="F63" s="4" t="s">
        <v>192</v>
      </c>
      <c r="G63" s="4"/>
      <c r="H63" s="4" t="s">
        <v>168</v>
      </c>
      <c r="I63" s="4" t="s">
        <v>9</v>
      </c>
      <c r="J63" s="12">
        <v>333191</v>
      </c>
      <c r="K63" s="4"/>
    </row>
    <row r="64" spans="2:11" x14ac:dyDescent="0.35">
      <c r="B64" s="4" t="s">
        <v>157</v>
      </c>
      <c r="C64" s="5">
        <v>0</v>
      </c>
      <c r="D64" s="6">
        <v>106141273</v>
      </c>
      <c r="E64" s="4" t="s">
        <v>172</v>
      </c>
      <c r="F64" s="4" t="s">
        <v>192</v>
      </c>
      <c r="G64" s="4" t="s">
        <v>192</v>
      </c>
      <c r="H64" s="4" t="s">
        <v>16</v>
      </c>
      <c r="I64" s="4" t="s">
        <v>118</v>
      </c>
      <c r="J64" s="12">
        <v>332030</v>
      </c>
      <c r="K64" s="4" t="s">
        <v>171</v>
      </c>
    </row>
    <row r="65" spans="2:11" x14ac:dyDescent="0.35">
      <c r="B65" s="4" t="s">
        <v>209</v>
      </c>
      <c r="C65" s="5">
        <v>0</v>
      </c>
      <c r="D65" s="6">
        <v>106141273</v>
      </c>
      <c r="E65" s="4" t="s">
        <v>172</v>
      </c>
      <c r="F65" s="4" t="s">
        <v>192</v>
      </c>
      <c r="G65" s="4" t="s">
        <v>192</v>
      </c>
      <c r="H65" s="4" t="s">
        <v>16</v>
      </c>
      <c r="I65" s="4" t="s">
        <v>17</v>
      </c>
      <c r="J65" s="12">
        <v>298480</v>
      </c>
      <c r="K65" s="4" t="s">
        <v>171</v>
      </c>
    </row>
    <row r="66" spans="2:11" x14ac:dyDescent="0.35">
      <c r="B66" s="4" t="s">
        <v>157</v>
      </c>
      <c r="C66" s="5">
        <v>0</v>
      </c>
      <c r="D66" s="6">
        <v>106470871</v>
      </c>
      <c r="E66" s="4" t="s">
        <v>111</v>
      </c>
      <c r="F66" s="4" t="s">
        <v>192</v>
      </c>
      <c r="G66" s="4" t="s">
        <v>192</v>
      </c>
      <c r="H66" s="4" t="s">
        <v>169</v>
      </c>
      <c r="I66" s="4" t="s">
        <v>55</v>
      </c>
      <c r="J66" s="12">
        <v>288000</v>
      </c>
      <c r="K66" s="4"/>
    </row>
    <row r="67" spans="2:11" x14ac:dyDescent="0.35">
      <c r="B67" s="4" t="s">
        <v>157</v>
      </c>
      <c r="C67" s="5">
        <v>0</v>
      </c>
      <c r="D67" s="6">
        <v>106500967</v>
      </c>
      <c r="E67" s="4" t="s">
        <v>18</v>
      </c>
      <c r="F67" s="4" t="s">
        <v>192</v>
      </c>
      <c r="G67" s="4"/>
      <c r="H67" s="4" t="s">
        <v>119</v>
      </c>
      <c r="I67" s="4" t="s">
        <v>120</v>
      </c>
      <c r="J67" s="12">
        <v>261905</v>
      </c>
      <c r="K67" s="4"/>
    </row>
    <row r="68" spans="2:11" x14ac:dyDescent="0.35">
      <c r="B68" s="4" t="s">
        <v>157</v>
      </c>
      <c r="C68" s="5">
        <v>0</v>
      </c>
      <c r="D68" s="6">
        <v>106321016</v>
      </c>
      <c r="E68" s="4" t="s">
        <v>138</v>
      </c>
      <c r="F68" s="4" t="s">
        <v>192</v>
      </c>
      <c r="G68" s="4" t="s">
        <v>192</v>
      </c>
      <c r="H68" s="4" t="s">
        <v>168</v>
      </c>
      <c r="I68" s="4" t="s">
        <v>23</v>
      </c>
      <c r="J68" s="12">
        <v>255691</v>
      </c>
      <c r="K68" s="4"/>
    </row>
    <row r="69" spans="2:11" x14ac:dyDescent="0.35">
      <c r="B69" s="4" t="s">
        <v>157</v>
      </c>
      <c r="C69" s="5">
        <v>0</v>
      </c>
      <c r="D69" s="6">
        <v>106190045</v>
      </c>
      <c r="E69" s="4" t="s">
        <v>78</v>
      </c>
      <c r="F69" s="4" t="s">
        <v>192</v>
      </c>
      <c r="G69" s="4" t="s">
        <v>192</v>
      </c>
      <c r="H69" s="4" t="s">
        <v>168</v>
      </c>
      <c r="I69" s="4" t="s">
        <v>79</v>
      </c>
      <c r="J69" s="12">
        <v>216153</v>
      </c>
      <c r="K69" s="4"/>
    </row>
    <row r="70" spans="2:11" x14ac:dyDescent="0.35">
      <c r="B70" s="4" t="s">
        <v>157</v>
      </c>
      <c r="C70" s="5">
        <v>0</v>
      </c>
      <c r="D70" s="6">
        <v>106090793</v>
      </c>
      <c r="E70" s="4" t="s">
        <v>75</v>
      </c>
      <c r="F70" s="4" t="s">
        <v>192</v>
      </c>
      <c r="G70" s="4"/>
      <c r="H70" s="4" t="s">
        <v>168</v>
      </c>
      <c r="I70" s="4" t="s">
        <v>76</v>
      </c>
      <c r="J70" s="12">
        <v>170446</v>
      </c>
      <c r="K70" s="4"/>
    </row>
    <row r="71" spans="2:11" x14ac:dyDescent="0.35">
      <c r="B71" s="4" t="s">
        <v>157</v>
      </c>
      <c r="C71" s="5">
        <v>0</v>
      </c>
      <c r="D71" s="6">
        <v>106521041</v>
      </c>
      <c r="E71" s="4" t="s">
        <v>145</v>
      </c>
      <c r="F71" s="4" t="s">
        <v>192</v>
      </c>
      <c r="G71" s="4"/>
      <c r="H71" s="4" t="s">
        <v>169</v>
      </c>
      <c r="I71" s="4" t="s">
        <v>146</v>
      </c>
      <c r="J71" s="12">
        <v>88600</v>
      </c>
      <c r="K71" s="4"/>
    </row>
    <row r="72" spans="2:11" x14ac:dyDescent="0.35">
      <c r="B72" s="4" t="s">
        <v>209</v>
      </c>
      <c r="C72" s="5">
        <v>1</v>
      </c>
      <c r="D72" s="5"/>
      <c r="E72" s="7" t="s">
        <v>36</v>
      </c>
      <c r="F72" s="4"/>
      <c r="G72" s="4"/>
      <c r="H72" s="4" t="s">
        <v>188</v>
      </c>
      <c r="I72" s="4" t="s">
        <v>37</v>
      </c>
      <c r="J72" s="12">
        <v>6213882</v>
      </c>
      <c r="K72" s="4" t="s">
        <v>191</v>
      </c>
    </row>
    <row r="73" spans="2:11" x14ac:dyDescent="0.35">
      <c r="B73" s="4" t="s">
        <v>209</v>
      </c>
      <c r="C73" s="5">
        <v>1</v>
      </c>
      <c r="D73" s="6"/>
      <c r="E73" s="7" t="s">
        <v>34</v>
      </c>
      <c r="F73" s="4"/>
      <c r="G73" s="4"/>
      <c r="H73" s="4" t="s">
        <v>188</v>
      </c>
      <c r="I73" s="4" t="s">
        <v>35</v>
      </c>
      <c r="J73" s="12">
        <v>3391350</v>
      </c>
      <c r="K73" s="4"/>
    </row>
    <row r="74" spans="2:11" x14ac:dyDescent="0.35">
      <c r="B74" s="4" t="s">
        <v>209</v>
      </c>
      <c r="C74" s="5">
        <v>1</v>
      </c>
      <c r="D74" s="5"/>
      <c r="E74" s="7" t="s">
        <v>6</v>
      </c>
      <c r="F74" s="4"/>
      <c r="G74" s="4"/>
      <c r="H74" s="4" t="s">
        <v>188</v>
      </c>
      <c r="I74" s="4" t="s">
        <v>7</v>
      </c>
      <c r="J74" s="12">
        <v>2472952.5699999998</v>
      </c>
      <c r="K74" s="4"/>
    </row>
    <row r="75" spans="2:11" x14ac:dyDescent="0.35">
      <c r="B75" s="4" t="s">
        <v>209</v>
      </c>
      <c r="C75" s="5">
        <v>1</v>
      </c>
      <c r="D75" s="5"/>
      <c r="E75" s="7" t="s">
        <v>20</v>
      </c>
      <c r="F75" s="4"/>
      <c r="G75" s="4"/>
      <c r="H75" s="4" t="s">
        <v>188</v>
      </c>
      <c r="I75" s="4" t="s">
        <v>21</v>
      </c>
      <c r="J75" s="12">
        <v>2048738.02</v>
      </c>
      <c r="K75" s="4"/>
    </row>
    <row r="76" spans="2:11" x14ac:dyDescent="0.35">
      <c r="B76" s="4" t="s">
        <v>157</v>
      </c>
      <c r="C76" s="5">
        <v>1</v>
      </c>
      <c r="D76" s="5"/>
      <c r="E76" s="7" t="s">
        <v>114</v>
      </c>
      <c r="F76" s="4"/>
      <c r="G76" s="4"/>
      <c r="H76" s="4" t="s">
        <v>188</v>
      </c>
      <c r="I76" s="4" t="s">
        <v>115</v>
      </c>
      <c r="J76" s="12">
        <v>1999999</v>
      </c>
      <c r="K76" s="4"/>
    </row>
    <row r="77" spans="2:11" x14ac:dyDescent="0.35">
      <c r="B77" s="4" t="s">
        <v>157</v>
      </c>
      <c r="C77" s="5">
        <v>1</v>
      </c>
      <c r="D77" s="5"/>
      <c r="E77" s="7" t="s">
        <v>97</v>
      </c>
      <c r="F77" s="4"/>
      <c r="G77" s="4"/>
      <c r="H77" s="4" t="s">
        <v>188</v>
      </c>
      <c r="I77" s="4" t="s">
        <v>98</v>
      </c>
      <c r="J77" s="12">
        <v>1999831</v>
      </c>
      <c r="K77" s="4"/>
    </row>
    <row r="78" spans="2:11" x14ac:dyDescent="0.35">
      <c r="B78" s="4" t="s">
        <v>157</v>
      </c>
      <c r="C78" s="5">
        <v>1</v>
      </c>
      <c r="D78" s="5"/>
      <c r="E78" s="7" t="s">
        <v>95</v>
      </c>
      <c r="F78" s="4"/>
      <c r="G78" s="4"/>
      <c r="H78" s="4" t="s">
        <v>188</v>
      </c>
      <c r="I78" s="4" t="s">
        <v>96</v>
      </c>
      <c r="J78" s="12">
        <v>1861538</v>
      </c>
      <c r="K78" s="4"/>
    </row>
    <row r="79" spans="2:11" x14ac:dyDescent="0.35">
      <c r="B79" s="4" t="s">
        <v>157</v>
      </c>
      <c r="C79" s="5">
        <v>1</v>
      </c>
      <c r="D79" s="5"/>
      <c r="E79" s="7" t="s">
        <v>130</v>
      </c>
      <c r="F79" s="4"/>
      <c r="G79" s="4"/>
      <c r="H79" s="4" t="s">
        <v>188</v>
      </c>
      <c r="I79" s="4" t="s">
        <v>41</v>
      </c>
      <c r="J79" s="12">
        <v>1793643</v>
      </c>
      <c r="K79" s="4"/>
    </row>
    <row r="80" spans="2:11" x14ac:dyDescent="0.35">
      <c r="B80" s="4" t="s">
        <v>157</v>
      </c>
      <c r="C80" s="5">
        <v>1</v>
      </c>
      <c r="D80" s="5"/>
      <c r="E80" s="7" t="s">
        <v>69</v>
      </c>
      <c r="F80" s="4"/>
      <c r="G80" s="4"/>
      <c r="H80" s="4" t="s">
        <v>188</v>
      </c>
      <c r="I80" s="4" t="s">
        <v>70</v>
      </c>
      <c r="J80" s="12">
        <v>1700000</v>
      </c>
      <c r="K80" s="4"/>
    </row>
    <row r="81" spans="2:11" x14ac:dyDescent="0.35">
      <c r="B81" s="4" t="s">
        <v>157</v>
      </c>
      <c r="C81" s="5">
        <v>1</v>
      </c>
      <c r="D81" s="5"/>
      <c r="E81" s="7" t="s">
        <v>67</v>
      </c>
      <c r="F81" s="4"/>
      <c r="G81" s="4"/>
      <c r="H81" s="4" t="s">
        <v>188</v>
      </c>
      <c r="I81" s="4" t="s">
        <v>68</v>
      </c>
      <c r="J81" s="12">
        <v>1548913</v>
      </c>
      <c r="K81" s="4"/>
    </row>
    <row r="82" spans="2:11" x14ac:dyDescent="0.35">
      <c r="B82" s="4" t="s">
        <v>209</v>
      </c>
      <c r="C82" s="5">
        <v>1</v>
      </c>
      <c r="D82" s="5"/>
      <c r="E82" s="7" t="s">
        <v>32</v>
      </c>
      <c r="F82" s="4"/>
      <c r="G82" s="4"/>
      <c r="H82" s="4" t="s">
        <v>188</v>
      </c>
      <c r="I82" s="4" t="s">
        <v>33</v>
      </c>
      <c r="J82" s="12">
        <v>1322281.49</v>
      </c>
      <c r="K82" s="4"/>
    </row>
    <row r="83" spans="2:11" x14ac:dyDescent="0.35">
      <c r="B83" s="4" t="s">
        <v>210</v>
      </c>
      <c r="C83" s="5">
        <v>1</v>
      </c>
      <c r="D83" s="5"/>
      <c r="E83" s="7" t="s">
        <v>162</v>
      </c>
      <c r="F83" s="4"/>
      <c r="G83" s="4"/>
      <c r="H83" s="4" t="s">
        <v>188</v>
      </c>
      <c r="I83" s="4" t="s">
        <v>55</v>
      </c>
      <c r="J83" s="12">
        <v>1185019.82</v>
      </c>
      <c r="K83" s="4"/>
    </row>
    <row r="84" spans="2:11" x14ac:dyDescent="0.35">
      <c r="B84" s="4" t="s">
        <v>157</v>
      </c>
      <c r="C84" s="5">
        <v>1</v>
      </c>
      <c r="D84" s="5"/>
      <c r="E84" s="7" t="s">
        <v>103</v>
      </c>
      <c r="F84" s="4"/>
      <c r="G84" s="4"/>
      <c r="H84" s="4" t="s">
        <v>188</v>
      </c>
      <c r="I84" s="4" t="s">
        <v>59</v>
      </c>
      <c r="J84" s="12">
        <v>1182017</v>
      </c>
      <c r="K84" s="4"/>
    </row>
    <row r="85" spans="2:11" x14ac:dyDescent="0.35">
      <c r="B85" s="4" t="s">
        <v>157</v>
      </c>
      <c r="C85" s="5">
        <v>1</v>
      </c>
      <c r="D85" s="5"/>
      <c r="E85" s="7" t="s">
        <v>137</v>
      </c>
      <c r="F85" s="4"/>
      <c r="G85" s="4"/>
      <c r="H85" s="4" t="s">
        <v>188</v>
      </c>
      <c r="I85" s="4" t="s">
        <v>37</v>
      </c>
      <c r="J85" s="12">
        <v>1110302</v>
      </c>
      <c r="K85" s="4"/>
    </row>
    <row r="86" spans="2:11" x14ac:dyDescent="0.35">
      <c r="B86" s="4" t="s">
        <v>157</v>
      </c>
      <c r="C86" s="5">
        <v>1</v>
      </c>
      <c r="D86" s="5"/>
      <c r="E86" s="7" t="s">
        <v>134</v>
      </c>
      <c r="F86" s="4"/>
      <c r="G86" s="4"/>
      <c r="H86" s="4" t="s">
        <v>188</v>
      </c>
      <c r="I86" s="4" t="s">
        <v>41</v>
      </c>
      <c r="J86" s="12">
        <v>1055735</v>
      </c>
      <c r="K86" s="4"/>
    </row>
    <row r="87" spans="2:11" x14ac:dyDescent="0.35">
      <c r="B87" s="4" t="s">
        <v>157</v>
      </c>
      <c r="C87" s="5">
        <v>1</v>
      </c>
      <c r="D87" s="6"/>
      <c r="E87" s="7" t="s">
        <v>155</v>
      </c>
      <c r="F87" s="4"/>
      <c r="G87" s="4"/>
      <c r="H87" s="4" t="s">
        <v>188</v>
      </c>
      <c r="I87" s="4" t="s">
        <v>156</v>
      </c>
      <c r="J87" s="12">
        <v>1000000</v>
      </c>
      <c r="K87" s="4"/>
    </row>
    <row r="88" spans="2:11" x14ac:dyDescent="0.35">
      <c r="B88" s="4" t="s">
        <v>157</v>
      </c>
      <c r="C88" s="5">
        <v>1</v>
      </c>
      <c r="D88" s="5"/>
      <c r="E88" s="7" t="s">
        <v>71</v>
      </c>
      <c r="F88" s="4"/>
      <c r="G88" s="4"/>
      <c r="H88" s="4" t="s">
        <v>188</v>
      </c>
      <c r="I88" s="4" t="s">
        <v>72</v>
      </c>
      <c r="J88" s="12">
        <v>1000000</v>
      </c>
      <c r="K88" s="4"/>
    </row>
    <row r="89" spans="2:11" x14ac:dyDescent="0.35">
      <c r="B89" s="4" t="s">
        <v>157</v>
      </c>
      <c r="C89" s="5">
        <v>1</v>
      </c>
      <c r="D89" s="5"/>
      <c r="E89" s="7" t="s">
        <v>99</v>
      </c>
      <c r="F89" s="4"/>
      <c r="G89" s="4"/>
      <c r="H89" s="4" t="s">
        <v>188</v>
      </c>
      <c r="I89" s="4" t="s">
        <v>59</v>
      </c>
      <c r="J89" s="12">
        <v>1000000</v>
      </c>
      <c r="K89" s="4"/>
    </row>
    <row r="90" spans="2:11" x14ac:dyDescent="0.35">
      <c r="B90" s="4" t="s">
        <v>157</v>
      </c>
      <c r="C90" s="5">
        <v>1</v>
      </c>
      <c r="D90" s="5"/>
      <c r="E90" s="7" t="s">
        <v>121</v>
      </c>
      <c r="F90" s="4"/>
      <c r="G90" s="4"/>
      <c r="H90" s="4" t="s">
        <v>188</v>
      </c>
      <c r="I90" s="4" t="s">
        <v>122</v>
      </c>
      <c r="J90" s="12">
        <v>1000000</v>
      </c>
      <c r="K90" s="4"/>
    </row>
    <row r="91" spans="2:11" x14ac:dyDescent="0.35">
      <c r="B91" s="4" t="s">
        <v>157</v>
      </c>
      <c r="C91" s="5">
        <v>1</v>
      </c>
      <c r="D91" s="5"/>
      <c r="E91" s="7" t="s">
        <v>147</v>
      </c>
      <c r="F91" s="4"/>
      <c r="G91" s="4"/>
      <c r="H91" s="4" t="s">
        <v>188</v>
      </c>
      <c r="I91" s="4" t="s">
        <v>148</v>
      </c>
      <c r="J91" s="12">
        <v>1000000</v>
      </c>
      <c r="K91" s="4"/>
    </row>
    <row r="92" spans="2:11" x14ac:dyDescent="0.35">
      <c r="B92" s="4" t="s">
        <v>157</v>
      </c>
      <c r="C92" s="5">
        <v>1</v>
      </c>
      <c r="D92" s="5"/>
      <c r="E92" s="7" t="s">
        <v>80</v>
      </c>
      <c r="F92" s="4"/>
      <c r="G92" s="4"/>
      <c r="H92" s="4" t="s">
        <v>188</v>
      </c>
      <c r="I92" s="4" t="s">
        <v>52</v>
      </c>
      <c r="J92" s="12">
        <v>999625</v>
      </c>
      <c r="K92" s="4"/>
    </row>
    <row r="93" spans="2:11" x14ac:dyDescent="0.35">
      <c r="B93" s="4" t="s">
        <v>157</v>
      </c>
      <c r="C93" s="5">
        <v>1</v>
      </c>
      <c r="D93" s="5"/>
      <c r="E93" s="7" t="s">
        <v>104</v>
      </c>
      <c r="F93" s="4"/>
      <c r="G93" s="4"/>
      <c r="H93" s="4" t="s">
        <v>188</v>
      </c>
      <c r="I93" s="4" t="s">
        <v>105</v>
      </c>
      <c r="J93" s="12">
        <v>995000</v>
      </c>
      <c r="K93" s="4"/>
    </row>
    <row r="94" spans="2:11" x14ac:dyDescent="0.35">
      <c r="B94" s="4" t="s">
        <v>157</v>
      </c>
      <c r="C94" s="5">
        <v>1</v>
      </c>
      <c r="D94" s="5"/>
      <c r="E94" s="7" t="s">
        <v>101</v>
      </c>
      <c r="F94" s="4"/>
      <c r="G94" s="4"/>
      <c r="H94" s="4" t="s">
        <v>188</v>
      </c>
      <c r="I94" s="4" t="s">
        <v>102</v>
      </c>
      <c r="J94" s="12">
        <v>989900</v>
      </c>
      <c r="K94" s="4"/>
    </row>
    <row r="95" spans="2:11" x14ac:dyDescent="0.35">
      <c r="B95" s="4" t="s">
        <v>209</v>
      </c>
      <c r="C95" s="5">
        <v>1</v>
      </c>
      <c r="D95" s="5"/>
      <c r="E95" s="7" t="s">
        <v>4</v>
      </c>
      <c r="F95" s="4"/>
      <c r="G95" s="4"/>
      <c r="H95" s="4" t="s">
        <v>188</v>
      </c>
      <c r="I95" s="4" t="s">
        <v>5</v>
      </c>
      <c r="J95" s="12">
        <v>938434.55</v>
      </c>
      <c r="K95" s="4"/>
    </row>
    <row r="96" spans="2:11" x14ac:dyDescent="0.35">
      <c r="B96" s="4" t="s">
        <v>157</v>
      </c>
      <c r="C96" s="5">
        <v>1</v>
      </c>
      <c r="D96" s="5"/>
      <c r="E96" s="7" t="s">
        <v>135</v>
      </c>
      <c r="F96" s="4"/>
      <c r="G96" s="4"/>
      <c r="H96" s="4" t="s">
        <v>188</v>
      </c>
      <c r="I96" s="4" t="s">
        <v>61</v>
      </c>
      <c r="J96" s="12">
        <v>913043</v>
      </c>
      <c r="K96" s="4"/>
    </row>
    <row r="97" spans="2:11" x14ac:dyDescent="0.35">
      <c r="B97" s="4" t="s">
        <v>157</v>
      </c>
      <c r="C97" s="5">
        <v>1</v>
      </c>
      <c r="D97" s="5"/>
      <c r="E97" s="7" t="s">
        <v>84</v>
      </c>
      <c r="F97" s="4"/>
      <c r="G97" s="4"/>
      <c r="H97" s="4" t="s">
        <v>188</v>
      </c>
      <c r="I97" s="4" t="s">
        <v>85</v>
      </c>
      <c r="J97" s="12">
        <v>906058</v>
      </c>
      <c r="K97" s="4"/>
    </row>
    <row r="98" spans="2:11" x14ac:dyDescent="0.35">
      <c r="B98" s="4" t="s">
        <v>157</v>
      </c>
      <c r="C98" s="5">
        <v>1</v>
      </c>
      <c r="D98" s="5"/>
      <c r="E98" s="7" t="s">
        <v>110</v>
      </c>
      <c r="F98" s="4"/>
      <c r="G98" s="4"/>
      <c r="H98" s="4" t="s">
        <v>188</v>
      </c>
      <c r="I98" s="4" t="s">
        <v>48</v>
      </c>
      <c r="J98" s="12">
        <v>891892</v>
      </c>
      <c r="K98" s="4"/>
    </row>
    <row r="99" spans="2:11" x14ac:dyDescent="0.35">
      <c r="B99" s="4" t="s">
        <v>157</v>
      </c>
      <c r="C99" s="5">
        <v>1</v>
      </c>
      <c r="D99" s="5"/>
      <c r="E99" s="7" t="s">
        <v>131</v>
      </c>
      <c r="F99" s="4"/>
      <c r="G99" s="4"/>
      <c r="H99" s="4" t="s">
        <v>188</v>
      </c>
      <c r="I99" s="4" t="s">
        <v>132</v>
      </c>
      <c r="J99" s="12">
        <v>888889</v>
      </c>
      <c r="K99" s="4"/>
    </row>
    <row r="100" spans="2:11" x14ac:dyDescent="0.35">
      <c r="B100" s="4" t="s">
        <v>157</v>
      </c>
      <c r="C100" s="5">
        <v>1</v>
      </c>
      <c r="D100" s="5"/>
      <c r="E100" s="7" t="s">
        <v>92</v>
      </c>
      <c r="F100" s="4"/>
      <c r="G100" s="4"/>
      <c r="H100" s="4" t="s">
        <v>188</v>
      </c>
      <c r="I100" s="4" t="s">
        <v>93</v>
      </c>
      <c r="J100" s="12">
        <v>888000</v>
      </c>
      <c r="K100" s="4"/>
    </row>
    <row r="101" spans="2:11" x14ac:dyDescent="0.35">
      <c r="B101" s="4" t="s">
        <v>157</v>
      </c>
      <c r="C101" s="5">
        <v>1</v>
      </c>
      <c r="D101" s="6"/>
      <c r="E101" s="7" t="s">
        <v>34</v>
      </c>
      <c r="F101" s="4"/>
      <c r="G101" s="4"/>
      <c r="H101" s="4" t="s">
        <v>188</v>
      </c>
      <c r="I101" s="4" t="s">
        <v>154</v>
      </c>
      <c r="J101" s="12">
        <v>860028</v>
      </c>
      <c r="K101" s="4"/>
    </row>
    <row r="102" spans="2:11" x14ac:dyDescent="0.35">
      <c r="B102" s="4" t="s">
        <v>157</v>
      </c>
      <c r="C102" s="5">
        <v>1</v>
      </c>
      <c r="D102" s="5"/>
      <c r="E102" s="7" t="s">
        <v>139</v>
      </c>
      <c r="F102" s="4"/>
      <c r="G102" s="4"/>
      <c r="H102" s="4" t="s">
        <v>188</v>
      </c>
      <c r="I102" s="4" t="s">
        <v>63</v>
      </c>
      <c r="J102" s="12">
        <v>845070</v>
      </c>
      <c r="K102" s="4"/>
    </row>
    <row r="103" spans="2:11" x14ac:dyDescent="0.35">
      <c r="B103" s="4" t="s">
        <v>157</v>
      </c>
      <c r="C103" s="5">
        <v>1</v>
      </c>
      <c r="D103" s="5"/>
      <c r="E103" s="7" t="s">
        <v>133</v>
      </c>
      <c r="F103" s="4"/>
      <c r="G103" s="4"/>
      <c r="H103" s="4" t="s">
        <v>188</v>
      </c>
      <c r="I103" s="4" t="s">
        <v>48</v>
      </c>
      <c r="J103" s="12">
        <v>794444</v>
      </c>
      <c r="K103" s="4"/>
    </row>
    <row r="104" spans="2:11" x14ac:dyDescent="0.35">
      <c r="B104" s="4" t="s">
        <v>157</v>
      </c>
      <c r="C104" s="5">
        <v>1</v>
      </c>
      <c r="D104" s="5"/>
      <c r="E104" s="7" t="s">
        <v>106</v>
      </c>
      <c r="F104" s="4"/>
      <c r="G104" s="4"/>
      <c r="H104" s="4" t="s">
        <v>188</v>
      </c>
      <c r="I104" s="4" t="s">
        <v>107</v>
      </c>
      <c r="J104" s="12">
        <v>791209</v>
      </c>
      <c r="K104" s="4"/>
    </row>
    <row r="105" spans="2:11" x14ac:dyDescent="0.35">
      <c r="B105" s="4" t="s">
        <v>209</v>
      </c>
      <c r="C105" s="5">
        <v>1</v>
      </c>
      <c r="D105" s="5"/>
      <c r="E105" s="7" t="s">
        <v>0</v>
      </c>
      <c r="F105" s="4"/>
      <c r="G105" s="4"/>
      <c r="H105" s="4" t="s">
        <v>188</v>
      </c>
      <c r="I105" s="4" t="s">
        <v>1</v>
      </c>
      <c r="J105" s="12">
        <v>776294.14</v>
      </c>
      <c r="K105" s="4"/>
    </row>
    <row r="106" spans="2:11" x14ac:dyDescent="0.35">
      <c r="B106" s="4" t="s">
        <v>157</v>
      </c>
      <c r="C106" s="5">
        <v>1</v>
      </c>
      <c r="D106" s="5"/>
      <c r="E106" s="7" t="s">
        <v>82</v>
      </c>
      <c r="F106" s="4"/>
      <c r="G106" s="4"/>
      <c r="H106" s="4" t="s">
        <v>188</v>
      </c>
      <c r="I106" s="4" t="s">
        <v>83</v>
      </c>
      <c r="J106" s="12">
        <v>675102</v>
      </c>
      <c r="K106" s="4"/>
    </row>
    <row r="107" spans="2:11" x14ac:dyDescent="0.35">
      <c r="B107" s="4" t="s">
        <v>157</v>
      </c>
      <c r="C107" s="5">
        <v>1</v>
      </c>
      <c r="D107" s="6"/>
      <c r="E107" s="7" t="s">
        <v>152</v>
      </c>
      <c r="F107" s="4"/>
      <c r="G107" s="4"/>
      <c r="H107" s="4" t="s">
        <v>188</v>
      </c>
      <c r="I107" s="4" t="s">
        <v>153</v>
      </c>
      <c r="J107" s="12">
        <v>629280</v>
      </c>
      <c r="K107" s="4"/>
    </row>
    <row r="108" spans="2:11" x14ac:dyDescent="0.35">
      <c r="B108" s="4" t="s">
        <v>157</v>
      </c>
      <c r="C108" s="5">
        <v>1</v>
      </c>
      <c r="D108" s="5"/>
      <c r="E108" s="7" t="s">
        <v>89</v>
      </c>
      <c r="F108" s="4"/>
      <c r="G108" s="4"/>
      <c r="H108" s="4" t="s">
        <v>188</v>
      </c>
      <c r="I108" s="4" t="s">
        <v>90</v>
      </c>
      <c r="J108" s="12">
        <v>622500</v>
      </c>
      <c r="K108" s="4"/>
    </row>
    <row r="109" spans="2:11" x14ac:dyDescent="0.35">
      <c r="B109" s="4" t="s">
        <v>157</v>
      </c>
      <c r="C109" s="5">
        <v>1</v>
      </c>
      <c r="D109" s="5"/>
      <c r="E109" s="7" t="s">
        <v>150</v>
      </c>
      <c r="F109" s="4"/>
      <c r="G109" s="4"/>
      <c r="H109" s="4" t="s">
        <v>188</v>
      </c>
      <c r="I109" s="4" t="s">
        <v>17</v>
      </c>
      <c r="J109" s="12">
        <v>607675</v>
      </c>
      <c r="K109" s="4"/>
    </row>
    <row r="110" spans="2:11" x14ac:dyDescent="0.35">
      <c r="B110" s="4" t="s">
        <v>157</v>
      </c>
      <c r="C110" s="5">
        <v>1</v>
      </c>
      <c r="D110" s="5"/>
      <c r="E110" s="7" t="s">
        <v>77</v>
      </c>
      <c r="F110" s="4"/>
      <c r="G110" s="4"/>
      <c r="H110" s="4" t="s">
        <v>188</v>
      </c>
      <c r="I110" s="4" t="s">
        <v>70</v>
      </c>
      <c r="J110" s="12">
        <v>562500</v>
      </c>
      <c r="K110" s="4"/>
    </row>
    <row r="111" spans="2:11" x14ac:dyDescent="0.35">
      <c r="B111" s="4" t="s">
        <v>157</v>
      </c>
      <c r="C111" s="5">
        <v>1</v>
      </c>
      <c r="D111" s="5"/>
      <c r="E111" s="7" t="s">
        <v>4</v>
      </c>
      <c r="F111" s="4"/>
      <c r="G111" s="4"/>
      <c r="H111" s="4" t="s">
        <v>188</v>
      </c>
      <c r="I111" s="4" t="s">
        <v>91</v>
      </c>
      <c r="J111" s="12">
        <v>526992</v>
      </c>
      <c r="K111" s="4"/>
    </row>
    <row r="112" spans="2:11" x14ac:dyDescent="0.35">
      <c r="B112" s="4" t="s">
        <v>210</v>
      </c>
      <c r="C112" s="5">
        <v>1</v>
      </c>
      <c r="D112" s="5"/>
      <c r="E112" s="7" t="s">
        <v>158</v>
      </c>
      <c r="F112" s="4"/>
      <c r="G112" s="4"/>
      <c r="H112" s="4" t="s">
        <v>188</v>
      </c>
      <c r="I112" s="4" t="s">
        <v>108</v>
      </c>
      <c r="J112" s="12">
        <v>485197</v>
      </c>
      <c r="K112" s="4"/>
    </row>
    <row r="113" spans="2:11" x14ac:dyDescent="0.35">
      <c r="B113" s="4" t="s">
        <v>157</v>
      </c>
      <c r="C113" s="5">
        <v>1</v>
      </c>
      <c r="D113" s="5"/>
      <c r="E113" s="7" t="s">
        <v>151</v>
      </c>
      <c r="F113" s="4"/>
      <c r="G113" s="4"/>
      <c r="H113" s="4" t="s">
        <v>188</v>
      </c>
      <c r="I113" s="4" t="s">
        <v>107</v>
      </c>
      <c r="J113" s="12">
        <v>437704</v>
      </c>
      <c r="K113" s="4"/>
    </row>
    <row r="114" spans="2:11" x14ac:dyDescent="0.35">
      <c r="B114" s="4" t="s">
        <v>157</v>
      </c>
      <c r="C114" s="5">
        <v>1</v>
      </c>
      <c r="D114" s="5"/>
      <c r="E114" s="7" t="s">
        <v>127</v>
      </c>
      <c r="F114" s="4"/>
      <c r="G114" s="4"/>
      <c r="H114" s="4" t="s">
        <v>188</v>
      </c>
      <c r="I114" s="4" t="s">
        <v>128</v>
      </c>
      <c r="J114" s="12">
        <v>388370</v>
      </c>
      <c r="K114" s="4"/>
    </row>
    <row r="115" spans="2:11" x14ac:dyDescent="0.35">
      <c r="B115" s="4" t="s">
        <v>210</v>
      </c>
      <c r="C115" s="5">
        <v>1</v>
      </c>
      <c r="D115" s="5"/>
      <c r="E115" s="7" t="s">
        <v>151</v>
      </c>
      <c r="F115" s="4"/>
      <c r="G115" s="4"/>
      <c r="H115" s="4" t="s">
        <v>188</v>
      </c>
      <c r="I115" s="4" t="s">
        <v>164</v>
      </c>
      <c r="J115" s="12">
        <v>388000</v>
      </c>
      <c r="K115" s="4"/>
    </row>
    <row r="116" spans="2:11" x14ac:dyDescent="0.35">
      <c r="B116" s="4" t="s">
        <v>157</v>
      </c>
      <c r="C116" s="5">
        <v>1</v>
      </c>
      <c r="D116" s="5"/>
      <c r="E116" s="7" t="s">
        <v>88</v>
      </c>
      <c r="F116" s="4"/>
      <c r="G116" s="4"/>
      <c r="H116" s="4" t="s">
        <v>188</v>
      </c>
      <c r="I116" s="4" t="s">
        <v>76</v>
      </c>
      <c r="J116" s="12">
        <v>341000</v>
      </c>
      <c r="K116" s="4"/>
    </row>
    <row r="117" spans="2:11" x14ac:dyDescent="0.35">
      <c r="B117" s="4" t="s">
        <v>46</v>
      </c>
      <c r="C117" s="5">
        <v>1</v>
      </c>
      <c r="D117" s="5"/>
      <c r="E117" s="7" t="s">
        <v>44</v>
      </c>
      <c r="F117" s="4"/>
      <c r="G117" s="4"/>
      <c r="H117" s="4" t="s">
        <v>188</v>
      </c>
      <c r="I117" s="4" t="s">
        <v>45</v>
      </c>
      <c r="J117" s="12">
        <v>289039</v>
      </c>
      <c r="K117" s="4"/>
    </row>
    <row r="118" spans="2:11" x14ac:dyDescent="0.35">
      <c r="B118" s="4" t="s">
        <v>157</v>
      </c>
      <c r="C118" s="5">
        <v>1</v>
      </c>
      <c r="D118" s="5"/>
      <c r="E118" s="7" t="s">
        <v>20</v>
      </c>
      <c r="F118" s="4"/>
      <c r="G118" s="4"/>
      <c r="H118" s="4" t="s">
        <v>188</v>
      </c>
      <c r="I118" s="4" t="s">
        <v>123</v>
      </c>
      <c r="J118" s="12">
        <v>137425</v>
      </c>
      <c r="K118" s="4"/>
    </row>
  </sheetData>
  <autoFilter ref="B10:K118" xr:uid="{06B11280-93C2-4B72-9DAE-05401BD3E378}"/>
  <sortState xmlns:xlrd2="http://schemas.microsoft.com/office/spreadsheetml/2017/richdata2" ref="B72:K118">
    <sortCondition descending="1" ref="J72:J118"/>
  </sortState>
  <pageMargins left="0.7" right="0.7" top="0.75" bottom="0.75" header="0.3" footer="0.3"/>
  <ignoredErrors>
    <ignoredError sqref="J5:J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Ziombra</dc:creator>
  <cp:lastModifiedBy>Justin Ziombra</cp:lastModifiedBy>
  <dcterms:created xsi:type="dcterms:W3CDTF">2026-10-21T22:30:54Z</dcterms:created>
  <dcterms:modified xsi:type="dcterms:W3CDTF">2026-10-23T22:56:03Z</dcterms:modified>
</cp:coreProperties>
</file>